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d.docs.live.net/e2653b21a4556b51/"/>
    </mc:Choice>
  </mc:AlternateContent>
  <xr:revisionPtr revIDLastSave="7" documentId="8_{C84B8375-3AC2-F045-9130-FD52A4B7DCE9}" xr6:coauthVersionLast="47" xr6:coauthVersionMax="47" xr10:uidLastSave="{8A590745-B218-4B01-A5DC-110DC704E2CE}"/>
  <bookViews>
    <workbookView xWindow="-108" yWindow="-108" windowWidth="23256" windowHeight="12456" firstSheet="5" activeTab="11" xr2:uid="{00000000-000D-0000-FFFF-FFFF00000000}"/>
  </bookViews>
  <sheets>
    <sheet name="KPI" sheetId="7" r:id="rId1"/>
    <sheet name="Rating" sheetId="8" r:id="rId2"/>
    <sheet name="Gender" sheetId="9" r:id="rId3"/>
    <sheet name="Education by Attrition" sheetId="10" r:id="rId4"/>
    <sheet name="Attrition wise Job" sheetId="11" r:id="rId5"/>
    <sheet name="Detail1" sheetId="17" r:id="rId6"/>
    <sheet name="Dept wise Attrition" sheetId="12" r:id="rId7"/>
    <sheet name="Attrition by Age group" sheetId="13" r:id="rId8"/>
    <sheet name="Marital status" sheetId="16" r:id="rId9"/>
    <sheet name="Data" sheetId="1" r:id="rId10"/>
    <sheet name="Images" sheetId="2" r:id="rId11"/>
    <sheet name="Dashboard" sheetId="4" r:id="rId12"/>
  </sheets>
  <definedNames>
    <definedName name="_xlchart.v1.0" hidden="1">'Attrition wise Job'!$D$4:$D$12</definedName>
    <definedName name="_xlchart.v1.1" hidden="1">'Attrition wise Job'!$E$3</definedName>
    <definedName name="_xlchart.v1.2" hidden="1">'Attrition wise Job'!$E$4:$E$12</definedName>
    <definedName name="_xlchart.v1.3" hidden="1">'Attrition wise Job'!$D$4:$D$12</definedName>
    <definedName name="_xlchart.v1.4" hidden="1">'Attrition wise Job'!$E$3</definedName>
    <definedName name="_xlchart.v1.5" hidden="1">'Attrition wise Job'!$E$4:$E$12</definedName>
    <definedName name="Slicer_Department">#N/A</definedName>
    <definedName name="Slicer_Education_Field2">#N/A</definedName>
    <definedName name="Slicer_Gender1">#N/A</definedName>
  </definedNames>
  <calcPr calcId="18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uri="GoogleSheetsCustomDataVersion2">
      <go:sheetsCustomData xmlns:go="http://customooxmlschemas.google.com/" r:id="rId18" roundtripDataChecksum="0W7NtiAel2xy0cZdwUBcRsMoEuXg6pzXui43o1bypBA="/>
    </ext>
  </extLst>
</workbook>
</file>

<file path=xl/calcChain.xml><?xml version="1.0" encoding="utf-8"?>
<calcChain xmlns="http://schemas.openxmlformats.org/spreadsheetml/2006/main">
  <c r="D5" i="11" l="1"/>
  <c r="D6" i="11"/>
  <c r="D7" i="11"/>
  <c r="D8" i="11"/>
  <c r="D9" i="11"/>
  <c r="D10" i="11"/>
  <c r="D11" i="11"/>
  <c r="D4" i="11"/>
  <c r="B10" i="9"/>
  <c r="B7" i="8"/>
  <c r="B9" i="7"/>
  <c r="B9" i="9"/>
  <c r="C9" i="7"/>
  <c r="A9" i="7"/>
  <c r="D9" i="7" l="1"/>
  <c r="E9" i="7"/>
  <c r="C10" i="9"/>
  <c r="C9" i="9"/>
  <c r="C7" i="8"/>
  <c r="B8" i="8"/>
  <c r="C8" i="8" s="1"/>
</calcChain>
</file>

<file path=xl/sharedStrings.xml><?xml version="1.0" encoding="utf-8"?>
<sst xmlns="http://schemas.openxmlformats.org/spreadsheetml/2006/main" count="20085" uniqueCount="1571">
  <si>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</si>
  <si>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</si>
  <si>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</si>
  <si>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</si>
  <si>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</si>
  <si>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</si>
  <si>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</si>
  <si>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</si>
  <si>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</si>
  <si>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</si>
  <si>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</si>
  <si>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</si>
  <si>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</si>
  <si>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</si>
  <si>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</si>
  <si>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</si>
  <si>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</si>
  <si>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</si>
  <si>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</si>
  <si>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</si>
  <si>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</si>
  <si>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</si>
  <si>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</si>
  <si>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</si>
  <si>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</si>
  <si>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</si>
  <si>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</si>
  <si>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</si>
  <si>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</si>
  <si>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</si>
  <si>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</si>
  <si>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</si>
  <si>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</si>
  <si>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</si>
  <si>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</si>
  <si>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</si>
  <si>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</si>
  <si>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</si>
  <si>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</si>
  <si>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</si>
  <si>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</si>
  <si>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</si>
  <si>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</si>
  <si>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</si>
  <si>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</si>
  <si>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</si>
  <si>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</si>
  <si>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</si>
  <si>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</si>
  <si>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</si>
  <si>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</si>
  <si>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</si>
  <si>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</si>
  <si>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</si>
  <si>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</si>
  <si>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</si>
  <si>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</si>
  <si>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</si>
  <si>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</si>
  <si>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</si>
  <si>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</si>
  <si>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</si>
  <si>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</si>
  <si>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</si>
  <si>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</si>
  <si>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</si>
  <si>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</si>
  <si>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</si>
  <si>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</si>
  <si>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</si>
  <si>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</si>
  <si>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</si>
  <si>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</si>
  <si>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</si>
  <si>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</si>
  <si>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</si>
  <si>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</si>
  <si>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</si>
  <si>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</si>
  <si>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</si>
  <si>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</si>
  <si>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</si>
  <si>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</si>
  <si>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</si>
  <si>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</si>
  <si>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</si>
  <si>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</si>
  <si>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</si>
  <si>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</si>
  <si>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</si>
  <si>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</si>
  <si>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</si>
  <si>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</si>
  <si>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</si>
  <si>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</si>
  <si>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</si>
  <si>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</si>
  <si>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</si>
  <si>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</si>
  <si>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</si>
  <si>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</si>
  <si>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</si>
  <si>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</si>
  <si>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</si>
  <si>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</si>
  <si>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</si>
  <si>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</si>
  <si>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</si>
  <si>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</si>
  <si>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</si>
  <si>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</si>
  <si>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</si>
  <si>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</si>
  <si>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</si>
  <si>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</si>
  <si>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</si>
  <si>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</si>
  <si>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</si>
  <si>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</si>
  <si>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</si>
  <si>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</si>
  <si>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</si>
  <si>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</si>
  <si>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</si>
  <si>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</si>
  <si>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</si>
  <si>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</si>
  <si>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</si>
  <si>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</si>
  <si>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</si>
  <si>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</si>
  <si>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</si>
  <si>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</si>
  <si>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</si>
  <si>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</si>
  <si>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</si>
  <si>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</si>
  <si>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</si>
  <si>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</si>
  <si>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</si>
  <si>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</si>
  <si>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</si>
  <si>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</si>
  <si>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</si>
  <si>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</si>
  <si>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</si>
  <si>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</si>
  <si>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</si>
  <si>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</si>
  <si>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</si>
  <si>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</si>
  <si>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</si>
  <si>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</si>
  <si>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</si>
  <si>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</si>
  <si>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</si>
  <si>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</si>
  <si>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</si>
  <si>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</si>
  <si>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</si>
  <si>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</si>
  <si>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</si>
  <si>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</si>
  <si>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</si>
  <si>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</si>
  <si>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</si>
  <si>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</si>
  <si>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</si>
  <si>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</si>
  <si>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</si>
  <si>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</si>
  <si>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</si>
  <si>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</si>
  <si>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</si>
  <si>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</si>
  <si>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</si>
  <si>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</si>
  <si>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</si>
  <si>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</si>
  <si>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</si>
  <si>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</si>
  <si>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</si>
  <si>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</si>
  <si>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</si>
  <si>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</si>
  <si>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</si>
  <si>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</si>
  <si>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</si>
  <si>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</si>
  <si>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</si>
  <si>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</si>
  <si>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</si>
  <si>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</si>
  <si>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</si>
  <si>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</si>
  <si>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</si>
  <si>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</si>
  <si>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</si>
  <si>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</si>
  <si>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</si>
  <si>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</si>
  <si>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</si>
  <si>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</si>
  <si>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</si>
  <si>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</si>
  <si>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</si>
  <si>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</si>
  <si>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</si>
  <si>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</si>
  <si>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</si>
  <si>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</si>
  <si>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</si>
  <si>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</si>
  <si>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</si>
  <si>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</si>
  <si>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</si>
  <si>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</si>
  <si>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</si>
  <si>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</si>
  <si>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</si>
  <si>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</si>
  <si>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</si>
  <si>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</si>
  <si>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</si>
  <si>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</si>
  <si>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</si>
  <si>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</si>
  <si>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</si>
  <si>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</si>
  <si>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</si>
  <si>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</si>
  <si>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</si>
  <si>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</si>
  <si>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</si>
  <si>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</si>
  <si>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</si>
  <si>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</si>
  <si>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</si>
  <si>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</si>
  <si>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</si>
  <si>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</si>
  <si>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</si>
  <si>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</si>
  <si>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</si>
  <si>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</si>
  <si>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</si>
  <si>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</si>
  <si>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</si>
  <si>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</si>
  <si>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</si>
  <si>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</si>
  <si>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</si>
  <si>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</si>
  <si>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</si>
  <si>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</si>
  <si>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</si>
  <si>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</si>
  <si>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</si>
  <si>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</si>
  <si>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</si>
  <si>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</si>
  <si>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</si>
  <si>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</si>
  <si>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</si>
  <si>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</si>
  <si>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</si>
  <si>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</si>
  <si>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</si>
  <si>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</si>
  <si>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</si>
  <si>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</si>
  <si>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</si>
  <si>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</si>
  <si>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</si>
  <si>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</si>
  <si>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</si>
  <si>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</si>
  <si>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</si>
  <si>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</si>
  <si>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</si>
  <si>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</si>
  <si>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</si>
  <si>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</si>
  <si>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</si>
  <si>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</si>
  <si>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</si>
  <si>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</si>
  <si>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</si>
  <si>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</si>
  <si>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</si>
  <si>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</si>
  <si>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</si>
  <si>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</si>
  <si>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</si>
  <si>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</si>
  <si>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</si>
  <si>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</si>
  <si>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</si>
  <si>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</si>
  <si>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</si>
  <si>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</si>
  <si>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</si>
  <si>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</si>
  <si>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</si>
  <si>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</si>
  <si>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</si>
  <si>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</si>
  <si>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</si>
  <si>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</si>
  <si>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</si>
  <si>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</si>
  <si>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</si>
  <si>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</si>
  <si>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</si>
  <si>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</si>
  <si>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</si>
  <si>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</si>
  <si>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</si>
  <si>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</si>
  <si>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</si>
  <si>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</si>
  <si>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</si>
  <si>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</si>
  <si>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</si>
  <si>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</si>
  <si>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</si>
  <si>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</si>
  <si>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</si>
  <si>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</si>
  <si>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</si>
  <si>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</si>
  <si>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</si>
  <si>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</si>
  <si>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</si>
  <si>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</si>
  <si>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</si>
  <si>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</si>
  <si>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</si>
  <si>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</si>
  <si>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</si>
  <si>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</si>
  <si>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</si>
  <si>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</si>
  <si>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</si>
  <si>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</si>
  <si>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</si>
  <si>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</si>
  <si>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</si>
  <si>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</si>
  <si>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</si>
  <si>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</si>
  <si>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</si>
  <si>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</si>
  <si>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</si>
  <si>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</si>
  <si>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</si>
  <si>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</si>
  <si>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</si>
  <si>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</si>
  <si>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</si>
  <si>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</si>
  <si>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</si>
  <si>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</si>
  <si>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</si>
  <si>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</si>
  <si>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</si>
  <si>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</si>
  <si>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</si>
  <si>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</si>
  <si>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</si>
  <si>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</si>
  <si>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</si>
  <si>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</si>
  <si>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</si>
  <si>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</si>
  <si>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</si>
  <si>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</si>
  <si>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</si>
  <si>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</si>
  <si>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</si>
  <si>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</si>
  <si>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</si>
  <si>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</si>
  <si>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</si>
  <si>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</si>
  <si>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</si>
  <si>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</si>
  <si>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</si>
  <si>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</si>
  <si>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</si>
  <si>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</si>
  <si>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</si>
  <si>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</si>
  <si>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</si>
  <si>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</si>
  <si>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</si>
  <si>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</si>
  <si>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</si>
  <si>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</si>
  <si>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</si>
  <si>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</si>
  <si>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</si>
  <si>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</si>
  <si>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</si>
  <si>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</si>
  <si>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</si>
  <si>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</si>
  <si>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</si>
  <si>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</si>
  <si>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</si>
  <si>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</si>
  <si>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</si>
  <si>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</si>
  <si>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</si>
  <si>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</si>
  <si>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</si>
  <si>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</si>
  <si>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</si>
  <si>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</si>
  <si>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</si>
  <si>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</si>
  <si>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</si>
  <si>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</si>
  <si>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</si>
  <si>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</si>
  <si>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</si>
  <si>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</si>
  <si>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</si>
  <si>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</si>
  <si>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</si>
  <si>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</si>
  <si>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</si>
  <si>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</si>
  <si>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</si>
  <si>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</si>
  <si>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</si>
  <si>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</si>
  <si>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</si>
  <si>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</si>
  <si>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</si>
  <si>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</si>
  <si>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</si>
  <si>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</si>
  <si>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</si>
  <si>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</si>
  <si>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</si>
  <si>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</si>
  <si>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</si>
  <si>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</si>
  <si>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</si>
  <si>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</si>
  <si>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</si>
  <si>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</si>
  <si>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</si>
  <si>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</si>
  <si>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</si>
  <si>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</si>
  <si>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</si>
  <si>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</si>
  <si>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</si>
  <si>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</si>
  <si>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</si>
  <si>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</si>
  <si>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</si>
  <si>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</si>
  <si>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</si>
  <si>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</si>
  <si>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</si>
  <si>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</si>
  <si>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</si>
  <si>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</si>
  <si>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</si>
  <si>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</si>
  <si>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</si>
  <si>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</si>
  <si>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</si>
  <si>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</si>
  <si>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</si>
  <si>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</si>
  <si>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</si>
  <si>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</si>
  <si>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</si>
  <si>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</si>
  <si>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</si>
  <si>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</si>
  <si>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</si>
  <si>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</si>
  <si>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</si>
  <si>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</si>
  <si>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</si>
  <si>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</si>
  <si>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</si>
  <si>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</si>
  <si>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</si>
  <si>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</si>
  <si>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</si>
  <si>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</si>
  <si>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</si>
  <si>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</si>
  <si>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</si>
  <si>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</si>
  <si>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</si>
  <si>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</si>
  <si>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</si>
  <si>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</si>
  <si>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</si>
  <si>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</si>
  <si>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</si>
  <si>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</si>
  <si>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</si>
  <si>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</si>
  <si>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</si>
  <si>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</si>
  <si>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</si>
  <si>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</si>
  <si>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</si>
  <si>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</si>
  <si>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</si>
  <si>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</si>
  <si>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</si>
  <si>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</si>
  <si>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</si>
  <si>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</si>
  <si>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</si>
  <si>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</si>
  <si>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</si>
  <si>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</si>
  <si>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</si>
  <si>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</si>
  <si>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</si>
  <si>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</si>
  <si>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</si>
  <si>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</si>
  <si>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</si>
  <si>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</si>
  <si>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</si>
  <si>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</si>
  <si>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</si>
  <si>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</si>
  <si>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</si>
  <si>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</si>
  <si>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</si>
  <si>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</si>
  <si>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</si>
  <si>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</si>
  <si>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</si>
  <si>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</si>
  <si>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</si>
  <si>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</si>
  <si>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</si>
  <si>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</si>
  <si>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</si>
  <si>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</si>
  <si>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</si>
  <si>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</si>
  <si>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</si>
  <si>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</si>
  <si>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</si>
  <si>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</si>
  <si>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</si>
  <si>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</si>
  <si>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</si>
  <si>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</si>
  <si>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</si>
  <si>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</si>
  <si>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</si>
  <si>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</si>
  <si>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</si>
  <si>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</si>
  <si>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</si>
  <si>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</si>
  <si>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</si>
  <si>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</si>
  <si>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</si>
  <si>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</si>
  <si>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</si>
  <si>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</si>
  <si>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</si>
  <si>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</si>
  <si>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</si>
  <si>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</si>
  <si>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</si>
  <si>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</si>
  <si>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</si>
  <si>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</si>
  <si>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</si>
  <si>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</si>
  <si>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</si>
  <si>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</si>
  <si>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</si>
  <si>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</si>
  <si>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</si>
  <si>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</si>
  <si>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</si>
  <si>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</si>
  <si>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</si>
  <si>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</si>
  <si>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</si>
  <si>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</si>
  <si>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</si>
  <si>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</si>
  <si>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</si>
  <si>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</si>
  <si>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</si>
  <si>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</si>
  <si>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</si>
  <si>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</si>
  <si>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</si>
  <si>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</si>
  <si>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</si>
  <si>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</si>
  <si>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</si>
  <si>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</si>
  <si>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</si>
  <si>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</si>
  <si>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</si>
  <si>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</si>
  <si>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</si>
  <si>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</si>
  <si>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</si>
  <si>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</si>
  <si>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</si>
  <si>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</si>
  <si>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</si>
  <si>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</si>
  <si>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</si>
  <si>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</si>
  <si>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</si>
  <si>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</si>
  <si>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</si>
  <si>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</si>
  <si>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</si>
  <si>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</si>
  <si>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</si>
  <si>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</si>
  <si>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</si>
  <si>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</si>
  <si>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</si>
  <si>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</si>
  <si>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</si>
  <si>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</si>
  <si>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</si>
  <si>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</si>
  <si>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</si>
  <si>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</si>
  <si>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</si>
  <si>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</si>
  <si>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</si>
  <si>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</si>
  <si>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</si>
  <si>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</si>
  <si>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</si>
  <si>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</si>
  <si>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</si>
  <si>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</si>
  <si>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</si>
  <si>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</si>
  <si>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</si>
  <si>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</si>
  <si>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</si>
  <si>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</si>
  <si>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</si>
  <si>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</si>
  <si>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</si>
  <si>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</si>
  <si>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</si>
  <si>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</si>
  <si>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</si>
  <si>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</si>
  <si>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</si>
  <si>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</si>
  <si>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</si>
  <si>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</si>
  <si>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</si>
  <si>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</si>
  <si>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</si>
  <si>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</si>
  <si>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</si>
  <si>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</si>
  <si>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</si>
  <si>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</si>
  <si>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</si>
  <si>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</si>
  <si>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</si>
  <si>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</si>
  <si>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</si>
  <si>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</si>
  <si>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</si>
  <si>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</si>
  <si>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</si>
  <si>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</si>
  <si>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</si>
  <si>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</si>
  <si>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</si>
  <si>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</si>
  <si>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</si>
  <si>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</si>
  <si>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</si>
  <si>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</si>
  <si>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</si>
  <si>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</si>
  <si>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</si>
  <si>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</si>
  <si>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</si>
  <si>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</si>
  <si>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</si>
  <si>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</si>
  <si>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</si>
  <si>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</si>
  <si>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</si>
  <si>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</si>
  <si>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</si>
  <si>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</si>
  <si>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</si>
  <si>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</si>
  <si>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</si>
  <si>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</si>
  <si>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</si>
  <si>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</si>
  <si>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</si>
  <si>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</si>
  <si>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</si>
  <si>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</si>
  <si>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</si>
  <si>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</si>
  <si>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</si>
  <si>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</si>
  <si>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</si>
  <si>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</si>
  <si>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</si>
  <si>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</si>
  <si>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</si>
  <si>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</si>
  <si>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</si>
  <si>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</si>
  <si>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</si>
  <si>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</si>
  <si>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</si>
  <si>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</si>
  <si>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</si>
  <si>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</si>
  <si>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</si>
  <si>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</si>
  <si>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</si>
  <si>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</si>
  <si>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</si>
  <si>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</si>
  <si>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</si>
  <si>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</si>
  <si>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</si>
  <si>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</si>
  <si>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</si>
  <si>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</si>
  <si>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</si>
  <si>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</si>
  <si>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</si>
  <si>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</si>
  <si>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</si>
  <si>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</si>
  <si>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</si>
  <si>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</si>
  <si>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</si>
  <si>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</si>
  <si>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</si>
  <si>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</si>
  <si>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</si>
  <si>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</si>
  <si>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</si>
  <si>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</si>
  <si>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</si>
  <si>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</si>
  <si>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</si>
  <si>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</si>
  <si>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</si>
  <si>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</si>
  <si>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</si>
  <si>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</si>
  <si>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</si>
  <si>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</si>
  <si>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</si>
  <si>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</si>
  <si>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</si>
  <si>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</si>
  <si>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</si>
  <si>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</si>
  <si>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</si>
  <si>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</si>
  <si>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</si>
  <si>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</si>
  <si>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</si>
  <si>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</si>
  <si>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</si>
  <si>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</si>
  <si>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</si>
  <si>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</si>
  <si>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</si>
  <si>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</si>
  <si>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</si>
  <si>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</si>
  <si>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</si>
  <si>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</si>
  <si>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</si>
  <si>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</si>
  <si>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</si>
  <si>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</si>
  <si>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</si>
  <si>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</si>
  <si>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</si>
  <si>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</si>
  <si>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</si>
  <si>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</si>
  <si>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</si>
  <si>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</si>
  <si>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</si>
  <si>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</si>
  <si>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</si>
  <si>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</si>
  <si>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</si>
  <si>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</si>
  <si>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</si>
  <si>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</si>
  <si>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</si>
  <si>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</si>
  <si>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</si>
  <si>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</si>
  <si>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</si>
  <si>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</si>
  <si>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</si>
  <si>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</si>
  <si>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</si>
  <si>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</si>
  <si>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</si>
  <si>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</si>
  <si>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</si>
  <si>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</si>
  <si>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</si>
  <si>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</si>
  <si>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</si>
  <si>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</si>
  <si>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</si>
  <si>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</si>
  <si>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</si>
  <si>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</si>
  <si>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</si>
  <si>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</si>
  <si>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</si>
  <si>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</si>
  <si>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</si>
  <si>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</si>
  <si>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</si>
  <si>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</si>
  <si>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</si>
  <si>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</si>
  <si>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</si>
  <si>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</si>
  <si>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</si>
  <si>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</si>
  <si>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</si>
  <si>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</si>
  <si>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</si>
  <si>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</si>
  <si>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</si>
  <si>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</si>
  <si>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</si>
  <si>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</si>
  <si>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</si>
  <si>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</si>
  <si>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</si>
  <si>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</si>
  <si>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</si>
  <si>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</si>
  <si>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</si>
  <si>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</si>
  <si>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</si>
  <si>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</si>
  <si>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</si>
  <si>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</si>
  <si>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</si>
  <si>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</si>
  <si>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</si>
  <si>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</si>
  <si>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</si>
  <si>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</si>
  <si>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</si>
  <si>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</si>
  <si>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</si>
  <si>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</si>
  <si>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</si>
  <si>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</si>
  <si>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</si>
  <si>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</si>
  <si>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</si>
  <si>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</si>
  <si>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</si>
  <si>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</si>
  <si>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</si>
  <si>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</si>
  <si>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</si>
  <si>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</si>
  <si>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</si>
  <si>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</si>
  <si>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</si>
  <si>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</si>
  <si>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</si>
  <si>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</si>
  <si>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</si>
  <si>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</si>
  <si>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</si>
  <si>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</si>
  <si>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</si>
  <si>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</si>
  <si>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</si>
  <si>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</si>
  <si>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</si>
  <si>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</si>
  <si>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</si>
  <si>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</si>
  <si>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</si>
  <si>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</si>
  <si>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</si>
  <si>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</si>
  <si>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</si>
  <si>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</si>
  <si>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</si>
  <si>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</si>
  <si>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</si>
  <si>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</si>
  <si>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</si>
  <si>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</si>
  <si>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</si>
  <si>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</si>
  <si>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</si>
  <si>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</si>
  <si>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</si>
  <si>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</si>
  <si>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</si>
  <si>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</si>
  <si>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</si>
  <si>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</si>
  <si>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</si>
  <si>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</si>
  <si>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</si>
  <si>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</si>
  <si>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</si>
  <si>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</si>
  <si>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</si>
  <si>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</si>
  <si>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</si>
  <si>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</si>
  <si>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</si>
  <si>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</si>
  <si>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</si>
  <si>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</si>
  <si>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</si>
  <si>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</si>
  <si>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</si>
  <si>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</si>
  <si>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</si>
  <si>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</si>
  <si>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</si>
  <si>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</si>
  <si>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</si>
  <si>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</si>
  <si>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</si>
  <si>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</si>
  <si>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</si>
  <si>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</si>
  <si>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</si>
  <si>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</si>
  <si>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</si>
  <si>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</si>
  <si>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</si>
  <si>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</si>
  <si>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</si>
  <si>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</si>
  <si>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</si>
  <si>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</si>
  <si>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</si>
  <si>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</si>
  <si>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</si>
  <si>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</si>
  <si>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</si>
  <si>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</si>
  <si>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</si>
  <si>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</si>
  <si>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</si>
  <si>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</si>
  <si>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</si>
  <si>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</si>
  <si>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</si>
  <si>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</si>
  <si>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</si>
  <si>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</si>
  <si>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</si>
  <si>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</si>
  <si>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</si>
  <si>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</si>
  <si>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</si>
  <si>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</si>
  <si>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</si>
  <si>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</si>
  <si>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</si>
  <si>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</si>
  <si>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</si>
  <si>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</si>
  <si>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</si>
  <si>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</si>
  <si>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</si>
  <si>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</si>
  <si>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</si>
  <si>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</si>
  <si>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</si>
  <si>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</si>
  <si>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</si>
  <si>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</si>
  <si>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</si>
  <si>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</si>
  <si>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</si>
  <si>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</si>
  <si>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</si>
  <si>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</si>
  <si>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</si>
  <si>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</si>
  <si>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</si>
  <si>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</si>
  <si>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</si>
  <si>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</si>
  <si>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</si>
  <si>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</si>
  <si>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</si>
  <si>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</si>
  <si>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</si>
  <si>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</si>
  <si>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</si>
  <si>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</si>
  <si>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</si>
  <si>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</si>
  <si>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</si>
  <si>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</si>
  <si>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</si>
  <si>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</si>
  <si>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</si>
  <si>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</si>
  <si>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</si>
  <si>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</si>
  <si>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</si>
  <si>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</si>
  <si>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</si>
  <si>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</si>
  <si>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</si>
  <si>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</si>
  <si>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</si>
  <si>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</si>
  <si>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</si>
  <si>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</si>
  <si>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</si>
  <si>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</si>
  <si>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</si>
  <si>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</si>
  <si>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</si>
  <si>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</si>
  <si>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</si>
  <si>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</si>
  <si>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</si>
  <si>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</si>
  <si>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</si>
  <si>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</si>
  <si>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</si>
  <si>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</si>
  <si>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</si>
  <si>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</si>
  <si>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</si>
  <si>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</si>
  <si>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</si>
  <si>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</si>
  <si>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</si>
  <si>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</si>
  <si>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</si>
  <si>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</si>
  <si>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</si>
  <si>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</si>
  <si>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</si>
  <si>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</si>
  <si>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</si>
  <si>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</si>
  <si>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</si>
  <si>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</si>
  <si>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</si>
  <si>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</si>
  <si>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</si>
  <si>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</si>
  <si>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</si>
  <si>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</si>
  <si>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</si>
  <si>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</si>
  <si>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</si>
  <si>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</si>
  <si>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</si>
  <si>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</si>
  <si>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</si>
  <si>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</si>
  <si>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</si>
  <si>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</si>
  <si>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</si>
  <si>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</si>
  <si>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</si>
  <si>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</si>
  <si>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</si>
  <si>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</si>
  <si>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</si>
  <si>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</si>
  <si>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</si>
  <si>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</si>
  <si>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</si>
  <si>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</si>
  <si>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</si>
  <si>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</si>
  <si>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</si>
  <si>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</si>
  <si>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</si>
  <si>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</si>
  <si>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</si>
  <si>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</si>
  <si>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</si>
  <si>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</si>
  <si>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</si>
  <si>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</si>
  <si>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</si>
  <si>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</si>
  <si>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</si>
  <si>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</si>
  <si>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</si>
  <si>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</si>
  <si>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</si>
  <si>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</si>
  <si>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</si>
  <si>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</si>
  <si>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</si>
  <si>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</si>
  <si>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</si>
  <si>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</si>
  <si>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</si>
  <si>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</si>
  <si>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</si>
  <si>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</si>
  <si>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</si>
  <si>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</si>
  <si>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</si>
  <si>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</si>
  <si>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</si>
  <si>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</si>
  <si>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</si>
  <si>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</si>
  <si>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</si>
  <si>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</si>
  <si>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</si>
  <si>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</si>
  <si>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</si>
  <si>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</si>
  <si>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</si>
  <si>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</si>
  <si>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</si>
  <si>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</si>
  <si>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</si>
  <si>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</si>
  <si>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</si>
  <si>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</si>
  <si>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</si>
  <si>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</si>
  <si>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</si>
  <si>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</si>
  <si>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</si>
  <si>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</si>
  <si>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</si>
  <si>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</si>
  <si>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</si>
  <si>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</si>
  <si>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</si>
  <si>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</si>
  <si>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</si>
  <si>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</si>
  <si>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</si>
  <si>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</si>
  <si>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</si>
  <si>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</si>
  <si>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</si>
  <si>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</si>
  <si>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</si>
  <si>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</si>
  <si>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</si>
  <si>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</si>
  <si>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</si>
  <si>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</si>
  <si>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</si>
  <si>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</si>
  <si>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</si>
  <si>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</si>
  <si>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</si>
  <si>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</si>
  <si>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</si>
  <si>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</si>
  <si>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</si>
  <si>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</si>
  <si>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</si>
  <si>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</si>
  <si>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</si>
  <si>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</si>
  <si>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</si>
  <si>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</si>
  <si>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</si>
  <si>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</si>
  <si>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</si>
  <si>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</si>
  <si>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</si>
  <si>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</si>
  <si>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</si>
  <si>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</si>
  <si>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</si>
  <si>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</si>
  <si>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</si>
  <si>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</si>
  <si>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</si>
  <si>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</si>
  <si>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</si>
  <si>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</si>
  <si>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</si>
  <si>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</si>
  <si>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</si>
  <si>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</si>
  <si>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</si>
  <si>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</si>
  <si>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</si>
  <si>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</si>
  <si>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</si>
  <si>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</si>
  <si>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</si>
  <si>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</si>
  <si>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</si>
  <si>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</si>
  <si>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</si>
  <si>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</si>
  <si>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</si>
  <si>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</si>
  <si>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</si>
  <si>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</si>
  <si>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</si>
  <si>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</si>
  <si>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</si>
  <si>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</si>
  <si>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</si>
  <si>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</si>
  <si>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</si>
  <si>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</si>
  <si>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</si>
  <si>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</si>
  <si>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</si>
  <si>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</si>
  <si>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</si>
  <si>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</si>
  <si>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</si>
  <si>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</si>
  <si>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</si>
  <si>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</si>
  <si>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</si>
  <si>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</si>
  <si>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</si>
  <si>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</si>
  <si>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</si>
  <si>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</si>
  <si>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</si>
  <si>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</si>
  <si>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</si>
  <si>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</si>
  <si>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</si>
  <si>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</si>
  <si>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</si>
  <si>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</si>
  <si>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</si>
  <si>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</si>
  <si>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</si>
  <si>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</si>
  <si>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</si>
  <si>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</si>
  <si>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</si>
  <si>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</si>
  <si>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</si>
  <si>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</si>
  <si>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</si>
  <si>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</si>
  <si>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</si>
  <si>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</si>
  <si>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</si>
  <si>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</si>
  <si>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</si>
  <si>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</si>
  <si>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</si>
  <si>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</si>
  <si>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</si>
  <si>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</si>
  <si>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</si>
  <si>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</si>
  <si>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</si>
  <si>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</si>
  <si>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</si>
  <si>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</si>
  <si>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</si>
  <si>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</si>
  <si>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</si>
  <si>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</si>
  <si>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</si>
  <si>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</si>
  <si>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</si>
  <si>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</si>
  <si>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</si>
  <si>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</si>
  <si>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</si>
  <si>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</si>
  <si>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</si>
  <si>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</si>
  <si>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</si>
  <si>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</si>
  <si>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</si>
  <si>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</si>
  <si>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</si>
  <si>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</si>
  <si>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</si>
  <si>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</si>
  <si>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</si>
  <si>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</si>
  <si>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</si>
  <si>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</si>
  <si>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</si>
  <si>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</si>
  <si>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</si>
  <si>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</si>
  <si>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</si>
  <si>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</si>
  <si>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</si>
  <si>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</si>
  <si>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</si>
  <si>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</si>
  <si>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</si>
  <si>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</si>
  <si>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</si>
  <si>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</si>
  <si>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</si>
  <si>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</si>
  <si>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</si>
  <si>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</si>
  <si>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</si>
  <si>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</si>
  <si>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</si>
  <si>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</si>
  <si>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</si>
  <si>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</si>
  <si>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</si>
  <si>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</si>
  <si>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</si>
  <si>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</si>
  <si>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</si>
  <si>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</si>
  <si>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</si>
  <si>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</si>
  <si>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</si>
  <si>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</si>
  <si>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</si>
  <si>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</si>
  <si>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</si>
  <si>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</si>
  <si>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</si>
  <si>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</si>
  <si>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</si>
  <si>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</si>
  <si>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</si>
  <si>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</si>
  <si>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</si>
  <si>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</si>
  <si>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</si>
  <si>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</si>
  <si>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</si>
  <si>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</si>
  <si>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</si>
  <si>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</si>
  <si>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</si>
  <si>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</si>
  <si>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</si>
  <si>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</si>
  <si>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</si>
  <si>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</si>
  <si>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</si>
  <si>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</si>
  <si>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</si>
  <si>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</si>
  <si>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</si>
  <si>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</si>
  <si>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</si>
  <si>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</si>
  <si>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</si>
  <si>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</si>
  <si>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</si>
  <si>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</si>
  <si>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</si>
  <si>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</si>
  <si>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</si>
  <si>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</si>
  <si>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</si>
  <si>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</si>
  <si>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</si>
  <si>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</si>
  <si>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</si>
  <si>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</si>
  <si>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</si>
  <si>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</si>
  <si>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</si>
  <si>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</si>
  <si>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</si>
  <si>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</si>
  <si>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</si>
  <si>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</si>
  <si>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</si>
  <si>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</si>
  <si>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</si>
  <si>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</si>
  <si>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</si>
  <si>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</si>
  <si>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</si>
  <si>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</si>
  <si>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</si>
  <si>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</si>
  <si>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</si>
  <si>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</si>
  <si>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</si>
  <si>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</si>
  <si>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</si>
  <si>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</si>
  <si>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</si>
  <si>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</si>
  <si>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</si>
  <si>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</si>
  <si>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</si>
  <si>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</si>
  <si>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</si>
  <si>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</si>
  <si>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</si>
  <si>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</si>
  <si>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</si>
  <si>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</si>
  <si>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</si>
  <si>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</si>
  <si>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</si>
  <si>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</si>
  <si>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</si>
  <si>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</si>
  <si>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</si>
  <si>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</si>
  <si>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</si>
  <si>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</si>
  <si>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</si>
  <si>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</si>
  <si>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</si>
  <si>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</si>
  <si>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</si>
  <si>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</si>
  <si>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</si>
  <si>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</si>
  <si>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</si>
  <si>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</si>
  <si>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</si>
  <si>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</si>
  <si>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</si>
  <si>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</si>
  <si>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</si>
  <si>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</si>
  <si>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</si>
  <si>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</si>
  <si>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</si>
  <si>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</si>
  <si>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</si>
  <si>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</si>
  <si>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</si>
  <si>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</si>
  <si>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</si>
  <si>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</si>
  <si>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</si>
  <si>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</si>
  <si>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</si>
  <si>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</si>
  <si>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</si>
  <si>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</si>
  <si>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</si>
  <si>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</si>
  <si>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</si>
  <si>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</si>
  <si>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</si>
  <si>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</si>
  <si>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</si>
  <si>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</si>
  <si>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</si>
  <si>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</si>
  <si>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</si>
  <si>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</si>
  <si>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</si>
  <si>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</si>
  <si>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</si>
  <si>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</si>
  <si>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</si>
  <si>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</si>
  <si>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</si>
  <si>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</si>
  <si>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</si>
  <si>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</si>
  <si>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</si>
  <si>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</si>
  <si>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</si>
  <si>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</si>
  <si>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</si>
  <si>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</si>
  <si>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</si>
  <si>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</si>
  <si>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</si>
  <si>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</si>
  <si>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</si>
  <si>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</si>
  <si>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</si>
  <si>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</si>
  <si>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</si>
  <si>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</si>
  <si>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</si>
  <si>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</si>
  <si>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</si>
  <si>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</si>
  <si>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</si>
  <si>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</si>
  <si>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</si>
  <si>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</si>
  <si>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</si>
  <si>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</si>
  <si>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</si>
  <si>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</si>
  <si>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</si>
  <si>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</si>
  <si>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</si>
  <si>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</si>
  <si>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</si>
  <si>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</si>
  <si>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</si>
  <si>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</si>
  <si>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</si>
  <si>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</si>
  <si>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</si>
  <si>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</si>
  <si>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</si>
  <si>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</si>
  <si>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</si>
  <si>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</si>
  <si>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Count of Employee Number</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</si>
  <si>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</si>
  <si>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</si>
  <si>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</si>
  <si>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</si>
  <si>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</si>
  <si>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</si>
  <si>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</si>
  <si>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</si>
  <si>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</si>
  <si>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</si>
  <si>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</si>
  <si>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</si>
  <si>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Count of Attrition</t>
  </si>
  <si>
    <t>Martial status</t>
  </si>
  <si>
    <t>Details for Sum of CF_attrition count - Department: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</si>
</sst>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b/>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0" fontId="0" fillId="0" borderId="0" xfId="1" applyNumberFormat="1" applyFont="1"/>
    <xf numFmtId="164" fontId="0" fillId="0" borderId="0" xfId="0" applyNumberFormat="1"/>
    <xf numFmtId="1" fontId="0" fillId="0" borderId="0" xfId="0" applyNumberFormat="1"/>
    <xf numFmtId="0" fontId="0" fillId="2" borderId="0" xfId="0" applyFill="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9" fontId="0" fillId="0" borderId="0" xfId="1" applyFont="1"/>
    <xf numFmtId="10" fontId="0" fillId="0" borderId="2" xfId="0" applyNumberFormat="1" applyBorder="1"/>
    <xf numFmtId="10" fontId="0" fillId="0" borderId="10" xfId="0" applyNumberFormat="1" applyBorder="1"/>
    <xf numFmtId="10" fontId="0" fillId="0" borderId="3" xfId="0" applyNumberFormat="1" applyBorder="1"/>
    <xf numFmtId="0" fontId="2" fillId="0" borderId="0" xfId="0" applyFont="1"/>
    <xf numFmtId="0" fontId="0" fillId="0" borderId="10" xfId="0" applyBorder="1"/>
    <xf numFmtId="0" fontId="0" fillId="0" borderId="3" xfId="0" applyBorder="1"/>
    <xf numFmtId="0" fontId="0" fillId="0" borderId="5" xfId="0" applyBorder="1"/>
    <xf numFmtId="0" fontId="0" fillId="0" borderId="8" xfId="0" applyBorder="1"/>
    <xf numFmtId="0" fontId="0" fillId="0" borderId="6" xfId="0" applyBorder="1"/>
  </cellXfs>
  <cellStyles count="2">
    <cellStyle name="Normal" xfId="0" builtinId="0"/>
    <cellStyle name="Percent" xfId="1" builtinId="5"/>
  </cellStyles>
  <dxfs count="6">
    <dxf>
      <numFmt numFmtId="164" formatCode="0.0"/>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
      <tableStyleElement type="firstRowStripe" dxfId="4"/>
      <tableStyleElement type="secondRowStripe" dxfId="3"/>
    </tableStyle>
    <tableStyle name="Slicer " pivot="0" table="0" count="4" xr9:uid="{7C2506DA-2505-4CDF-8213-869C9738DD70}">
      <tableStyleElement type="wholeTable" dxfId="2"/>
    </tableStyle>
  </tableStyles>
  <colors>
    <mruColors>
      <color rgb="FF602928"/>
      <color rgb="FFE78DD8"/>
      <color rgb="FF4795D5"/>
    </mruColors>
  </colors>
  <extLst>
    <ext xmlns:x14="http://schemas.microsoft.com/office/spreadsheetml/2009/9/main" uri="{46F421CA-312F-682f-3DD2-61675219B42D}">
      <x14:dxfs count="3">
        <dxf>
          <fill>
            <gradientFill>
              <stop position="0">
                <color theme="1" tint="0.34900967436750391"/>
              </stop>
              <stop position="1">
                <color theme="0" tint="-0.25098422193060094"/>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stop>
              <stop position="1">
                <color theme="0" tint="-0.34900967436750391"/>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20180958955734"/>
          <c:y val="0.18707489889944015"/>
          <c:w val="0.68975477493521697"/>
          <c:h val="0.8129251011005598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4B-4604-8321-F1FC0ADFAC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4B-4604-8321-F1FC0ADFAC36}"/>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23DD-45E2-B3C8-0F9B37341F7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43E-2"/>
          <c:y val="7.407407407407407E-2"/>
          <c:w val="0.89971084864391948"/>
          <c:h val="0.8416746864975212"/>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D9F6-4532-9CB6-277736B4C295}"/>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9-D9F6-4532-9CB6-277736B4C295}"/>
            </c:ext>
          </c:extLst>
        </c:ser>
        <c:ser>
          <c:idx val="2"/>
          <c:order val="2"/>
          <c:spPr>
            <a:solidFill>
              <a:schemeClr val="accent3"/>
            </a:solidFill>
            <a:ln>
              <a:noFill/>
            </a:ln>
            <a:effectLst/>
          </c:spPr>
          <c:invertIfNegative val="0"/>
          <c:val>
            <c:numRef>
              <c:f>Rating!$B$9</c:f>
              <c:numCache>
                <c:formatCode>General</c:formatCode>
                <c:ptCount val="1"/>
              </c:numCache>
            </c:numRef>
          </c:val>
          <c:extLst>
            <c:ext xmlns:c16="http://schemas.microsoft.com/office/drawing/2014/chart" uri="{C3380CC4-5D6E-409C-BE32-E72D297353CC}">
              <c16:uniqueId val="{0000000A-D9F6-4532-9CB6-277736B4C295}"/>
            </c:ext>
          </c:extLst>
        </c:ser>
        <c:dLbls>
          <c:showLegendKey val="0"/>
          <c:showVal val="0"/>
          <c:showCatName val="0"/>
          <c:showSerName val="0"/>
          <c:showPercent val="0"/>
          <c:showBubbleSize val="0"/>
        </c:dLbls>
        <c:gapWidth val="0"/>
        <c:overlap val="100"/>
        <c:axId val="408548224"/>
        <c:axId val="408552904"/>
      </c:barChart>
      <c:catAx>
        <c:axId val="40854822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552904"/>
        <c:crosses val="autoZero"/>
        <c:auto val="1"/>
        <c:lblAlgn val="ctr"/>
        <c:lblOffset val="100"/>
        <c:noMultiLvlLbl val="0"/>
      </c:catAx>
      <c:valAx>
        <c:axId val="408552904"/>
        <c:scaling>
          <c:orientation val="minMax"/>
          <c:max val="4"/>
        </c:scaling>
        <c:delete val="1"/>
        <c:axPos val="b"/>
        <c:numFmt formatCode="0.0" sourceLinked="1"/>
        <c:majorTickMark val="out"/>
        <c:minorTickMark val="none"/>
        <c:tickLblPos val="nextTo"/>
        <c:crossAx val="408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7E-429A-91EC-30DAB35B5B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7E-429A-91EC-30DAB35B5B7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7243-41FF-A6FA-BBE5B4D54E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AA0-4BF5-87DA-7EA63E8EA4DE}"/>
            </c:ext>
          </c:extLst>
        </c:ser>
        <c:dLbls>
          <c:dLblPos val="outEnd"/>
          <c:showLegendKey val="0"/>
          <c:showVal val="1"/>
          <c:showCatName val="0"/>
          <c:showSerName val="0"/>
          <c:showPercent val="0"/>
          <c:showBubbleSize val="0"/>
        </c:dLbls>
        <c:gapWidth val="182"/>
        <c:axId val="532881072"/>
        <c:axId val="532885392"/>
      </c:barChart>
      <c:catAx>
        <c:axId val="53288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885392"/>
        <c:crosses val="autoZero"/>
        <c:auto val="1"/>
        <c:lblAlgn val="ctr"/>
        <c:lblOffset val="100"/>
        <c:noMultiLvlLbl val="0"/>
      </c:catAx>
      <c:valAx>
        <c:axId val="532885392"/>
        <c:scaling>
          <c:orientation val="minMax"/>
        </c:scaling>
        <c:delete val="1"/>
        <c:axPos val="b"/>
        <c:numFmt formatCode="General" sourceLinked="1"/>
        <c:majorTickMark val="none"/>
        <c:minorTickMark val="none"/>
        <c:tickLblPos val="nextTo"/>
        <c:crossAx val="53288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0-4511-8E86-8B5E8C3EF0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0-4511-8E86-8B5E8C3EF0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A0-4511-8E86-8B5E8C3EF0F3}"/>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A58-4BF4-9772-F6ED14A8D0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07407407407407E-2"/>
          <c:w val="0.93888888888888888"/>
          <c:h val="0.8416746864975212"/>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D1B-4DF0-BBB2-6CCD8CFC350A}"/>
            </c:ext>
          </c:extLst>
        </c:ser>
        <c:dLbls>
          <c:showLegendKey val="0"/>
          <c:showVal val="0"/>
          <c:showCatName val="0"/>
          <c:showSerName val="0"/>
          <c:showPercent val="0"/>
          <c:showBubbleSize val="0"/>
        </c:dLbls>
        <c:gapWidth val="219"/>
        <c:overlap val="-27"/>
        <c:axId val="630488600"/>
        <c:axId val="630487880"/>
      </c:barChart>
      <c:catAx>
        <c:axId val="630488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87880"/>
        <c:crosses val="autoZero"/>
        <c:auto val="1"/>
        <c:lblAlgn val="ctr"/>
        <c:lblOffset val="100"/>
        <c:noMultiLvlLbl val="0"/>
      </c:catAx>
      <c:valAx>
        <c:axId val="630487880"/>
        <c:scaling>
          <c:orientation val="minMax"/>
        </c:scaling>
        <c:delete val="1"/>
        <c:axPos val="l"/>
        <c:numFmt formatCode="General" sourceLinked="1"/>
        <c:majorTickMark val="out"/>
        <c:minorTickMark val="none"/>
        <c:tickLblPos val="nextTo"/>
        <c:crossAx val="630488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'Marital status'!$E$3</c:f>
              <c:strCache>
                <c:ptCount val="1"/>
                <c:pt idx="0">
                  <c:v>Attrition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'Marital status'!$D$4:$D$6</c:f>
              <c:strCache>
                <c:ptCount val="3"/>
                <c:pt idx="0">
                  <c:v>Divorced</c:v>
                </c:pt>
                <c:pt idx="1">
                  <c:v>Married</c:v>
                </c:pt>
                <c:pt idx="2">
                  <c:v>Single</c:v>
                </c:pt>
              </c:strCache>
            </c:strRef>
          </c:xVal>
          <c:yVal>
            <c:numRef>
              <c:f>'Marital status'!$E$4:$E$6</c:f>
              <c:numCache>
                <c:formatCode>General</c:formatCode>
                <c:ptCount val="3"/>
                <c:pt idx="0">
                  <c:v>327</c:v>
                </c:pt>
                <c:pt idx="1">
                  <c:v>673</c:v>
                </c:pt>
                <c:pt idx="2">
                  <c:v>470</c:v>
                </c:pt>
              </c:numCache>
            </c:numRef>
          </c:yVal>
          <c:smooth val="0"/>
          <c:extLst>
            <c:ext xmlns:c16="http://schemas.microsoft.com/office/drawing/2014/chart" uri="{C3380CC4-5D6E-409C-BE32-E72D297353CC}">
              <c16:uniqueId val="{00000000-1391-4DA1-B62B-7A74D9A8D1C7}"/>
            </c:ext>
          </c:extLst>
        </c:ser>
        <c:dLbls>
          <c:dLblPos val="t"/>
          <c:showLegendKey val="0"/>
          <c:showVal val="1"/>
          <c:showCatName val="0"/>
          <c:showSerName val="0"/>
          <c:showPercent val="0"/>
          <c:showBubbleSize val="0"/>
        </c:dLbls>
        <c:axId val="543769568"/>
        <c:axId val="543777128"/>
      </c:scatterChart>
      <c:valAx>
        <c:axId val="543769568"/>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77128"/>
        <c:crosses val="autoZero"/>
        <c:crossBetween val="midCat"/>
      </c:valAx>
      <c:valAx>
        <c:axId val="543777128"/>
        <c:scaling>
          <c:orientation val="minMax"/>
        </c:scaling>
        <c:delete val="1"/>
        <c:axPos val="l"/>
        <c:numFmt formatCode="General" sourceLinked="1"/>
        <c:majorTickMark val="out"/>
        <c:minorTickMark val="none"/>
        <c:tickLblPos val="nextTo"/>
        <c:crossAx val="5437695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376454906487467E-2"/>
          <c:y val="0.18707531350247883"/>
          <c:w val="0.68975477493521697"/>
          <c:h val="0.81292510110055982"/>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E9A-4D71-B9E1-CCD96356A7F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FE9A-4D71-B9E1-CCD96356A7F5}"/>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FE9A-4D71-B9E1-CCD96356A7F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43E-2"/>
          <c:y val="7.407407407407407E-2"/>
          <c:w val="0.89971084864391948"/>
          <c:h val="0.8416746864975212"/>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3-7862-435A-9E14-A4DA71C9FE23}"/>
              </c:ext>
            </c:extLst>
          </c:dPt>
          <c:val>
            <c:numRef>
              <c:f>Rating!$B$7</c:f>
              <c:numCache>
                <c:formatCode>0.0</c:formatCode>
                <c:ptCount val="1"/>
                <c:pt idx="0">
                  <c:v>2.6265306122448981</c:v>
                </c:pt>
              </c:numCache>
            </c:numRef>
          </c:val>
          <c:extLst>
            <c:ext xmlns:c16="http://schemas.microsoft.com/office/drawing/2014/chart" uri="{C3380CC4-5D6E-409C-BE32-E72D297353CC}">
              <c16:uniqueId val="{00000000-7862-435A-9E14-A4DA71C9FE23}"/>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7862-435A-9E14-A4DA71C9FE23}"/>
            </c:ext>
          </c:extLst>
        </c:ser>
        <c:ser>
          <c:idx val="2"/>
          <c:order val="2"/>
          <c:spPr>
            <a:solidFill>
              <a:schemeClr val="accent3"/>
            </a:solidFill>
            <a:ln>
              <a:noFill/>
            </a:ln>
            <a:effectLst/>
          </c:spPr>
          <c:invertIfNegative val="0"/>
          <c:val>
            <c:numRef>
              <c:f>Rating!$B$9</c:f>
              <c:numCache>
                <c:formatCode>General</c:formatCode>
                <c:ptCount val="1"/>
              </c:numCache>
            </c:numRef>
          </c:val>
          <c:extLst>
            <c:ext xmlns:c16="http://schemas.microsoft.com/office/drawing/2014/chart" uri="{C3380CC4-5D6E-409C-BE32-E72D297353CC}">
              <c16:uniqueId val="{00000002-7862-435A-9E14-A4DA71C9FE23}"/>
            </c:ext>
          </c:extLst>
        </c:ser>
        <c:dLbls>
          <c:showLegendKey val="0"/>
          <c:showVal val="0"/>
          <c:showCatName val="0"/>
          <c:showSerName val="0"/>
          <c:showPercent val="0"/>
          <c:showBubbleSize val="0"/>
        </c:dLbls>
        <c:gapWidth val="0"/>
        <c:overlap val="100"/>
        <c:axId val="408548224"/>
        <c:axId val="408552904"/>
      </c:barChart>
      <c:catAx>
        <c:axId val="40854822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552904"/>
        <c:crosses val="autoZero"/>
        <c:auto val="1"/>
        <c:lblAlgn val="ctr"/>
        <c:lblOffset val="100"/>
        <c:noMultiLvlLbl val="0"/>
      </c:catAx>
      <c:valAx>
        <c:axId val="408552904"/>
        <c:scaling>
          <c:orientation val="minMax"/>
          <c:max val="4"/>
        </c:scaling>
        <c:delete val="1"/>
        <c:axPos val="b"/>
        <c:numFmt formatCode="0.0" sourceLinked="1"/>
        <c:majorTickMark val="out"/>
        <c:minorTickMark val="none"/>
        <c:tickLblPos val="nextTo"/>
        <c:crossAx val="408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415794611814274E-3"/>
          <c:y val="0.32574180898197019"/>
          <c:w val="0.9271431507502893"/>
          <c:h val="0.69683343416864196"/>
        </c:manualLayout>
      </c:layout>
      <c:doughnutChart>
        <c:varyColors val="1"/>
        <c:ser>
          <c:idx val="0"/>
          <c:order val="0"/>
          <c:spPr>
            <a:ln>
              <a:noFill/>
            </a:ln>
          </c:spPr>
          <c:dPt>
            <c:idx val="0"/>
            <c:bubble3D val="0"/>
            <c:spPr>
              <a:gradFill flip="none" rotWithShape="1">
                <a:gsLst>
                  <a:gs pos="44000">
                    <a:srgbClr val="E78DD8"/>
                  </a:gs>
                  <a:gs pos="48000">
                    <a:schemeClr val="accent1">
                      <a:lumMod val="97000"/>
                      <a:lumOff val="3000"/>
                    </a:schemeClr>
                  </a:gs>
                  <a:gs pos="100000">
                    <a:schemeClr val="accent1">
                      <a:lumMod val="60000"/>
                      <a:lumOff val="40000"/>
                    </a:schemeClr>
                  </a:gs>
                </a:gsLst>
                <a:lin ang="10800000" scaled="0"/>
                <a:tileRect/>
              </a:gradFill>
              <a:ln w="19050">
                <a:noFill/>
              </a:ln>
              <a:effectLst/>
            </c:spPr>
            <c:extLst>
              <c:ext xmlns:c16="http://schemas.microsoft.com/office/drawing/2014/chart" uri="{C3380CC4-5D6E-409C-BE32-E72D297353CC}">
                <c16:uniqueId val="{00000001-8D46-4621-8AAE-9EFBF7B73D5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D46-4621-8AAE-9EFBF7B73D5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D46-4621-8AAE-9EFBF7B73D5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2943990557356"/>
          <c:y val="0.12394825602976962"/>
          <c:w val="0.78656715942635091"/>
          <c:h val="0.82456784550591411"/>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4AED-4A6C-A8FA-6E04A32B5763}"/>
              </c:ext>
            </c:extLst>
          </c:dPt>
          <c:dPt>
            <c:idx val="1"/>
            <c:bubble3D val="0"/>
            <c:spPr>
              <a:gradFill>
                <a:gsLst>
                  <a:gs pos="0">
                    <a:srgbClr val="E78DD8"/>
                  </a:gs>
                  <a:gs pos="58000">
                    <a:schemeClr val="accent1">
                      <a:lumMod val="97000"/>
                      <a:lumOff val="3000"/>
                    </a:schemeClr>
                  </a:gs>
                  <a:gs pos="100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3-4AED-4A6C-A8FA-6E04A32B576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4AED-4A6C-A8FA-6E04A32B576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DATA_Excel.xlsx]Education by Attrition!Education by Attrition</c:name>
    <c:fmtId val="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4006780402449693"/>
          <c:y val="6.4814814814814811E-2"/>
          <c:w val="0.74326552930883638"/>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350-475E-AC26-0938010391AF}"/>
            </c:ext>
          </c:extLst>
        </c:ser>
        <c:dLbls>
          <c:dLblPos val="outEnd"/>
          <c:showLegendKey val="0"/>
          <c:showVal val="1"/>
          <c:showCatName val="0"/>
          <c:showSerName val="0"/>
          <c:showPercent val="0"/>
          <c:showBubbleSize val="0"/>
        </c:dLbls>
        <c:gapWidth val="75"/>
        <c:axId val="532881072"/>
        <c:axId val="532885392"/>
      </c:barChart>
      <c:catAx>
        <c:axId val="53288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2885392"/>
        <c:crosses val="autoZero"/>
        <c:auto val="1"/>
        <c:lblAlgn val="ctr"/>
        <c:lblOffset val="100"/>
        <c:noMultiLvlLbl val="0"/>
      </c:catAx>
      <c:valAx>
        <c:axId val="532885392"/>
        <c:scaling>
          <c:orientation val="minMax"/>
        </c:scaling>
        <c:delete val="1"/>
        <c:axPos val="b"/>
        <c:numFmt formatCode="General" sourceLinked="1"/>
        <c:majorTickMark val="none"/>
        <c:minorTickMark val="none"/>
        <c:tickLblPos val="nextTo"/>
        <c:crossAx val="53288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1-CEC8-4929-8DE1-E7C732AA04C1}"/>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EC8-4929-8DE1-E7C732AA04C1}"/>
              </c:ext>
            </c:extLst>
          </c:dPt>
          <c:dPt>
            <c:idx val="2"/>
            <c:bubble3D val="0"/>
            <c:spPr>
              <a:gradFill>
                <a:gsLst>
                  <a:gs pos="2600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0"/>
              </a:gradFill>
              <a:ln w="19050">
                <a:solidFill>
                  <a:schemeClr val="lt1"/>
                </a:solidFill>
              </a:ln>
              <a:effectLst/>
            </c:spPr>
            <c:extLst>
              <c:ext xmlns:c16="http://schemas.microsoft.com/office/drawing/2014/chart" uri="{C3380CC4-5D6E-409C-BE32-E72D297353CC}">
                <c16:uniqueId val="{00000005-CEC8-4929-8DE1-E7C732AA04C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EC8-4929-8DE1-E7C732AA04C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3125">
                <a:srgbClr val="EF8943"/>
              </a:gs>
              <a:gs pos="40250">
                <a:srgbClr val="F08D4A"/>
              </a:gs>
              <a:gs pos="34500">
                <a:srgbClr val="F19658"/>
              </a:gs>
              <a:gs pos="23000">
                <a:srgbClr val="F3A874"/>
              </a:gs>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218899593263E-2"/>
          <c:y val="9.2592525085648091E-3"/>
          <c:w val="0.93888888888888888"/>
          <c:h val="0.8416746864975212"/>
        </c:manualLayout>
      </c:layout>
      <c:barChart>
        <c:barDir val="col"/>
        <c:grouping val="clustered"/>
        <c:varyColors val="0"/>
        <c:ser>
          <c:idx val="0"/>
          <c:order val="0"/>
          <c:tx>
            <c:strRef>
              <c:f>'Attrition by Age group'!$B$3</c:f>
              <c:strCache>
                <c:ptCount val="1"/>
                <c:pt idx="0">
                  <c:v>Total</c:v>
                </c:pt>
              </c:strCache>
            </c:strRef>
          </c:tx>
          <c:spPr>
            <a:gradFill>
              <a:gsLst>
                <a:gs pos="43125">
                  <a:srgbClr val="EF8943"/>
                </a:gs>
                <a:gs pos="40250">
                  <a:srgbClr val="F08D4A"/>
                </a:gs>
                <a:gs pos="34500">
                  <a:srgbClr val="F19658"/>
                </a:gs>
                <a:gs pos="23000">
                  <a:srgbClr val="F3A874"/>
                </a:gs>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CA8-4697-9E46-4C04BBFF18F9}"/>
            </c:ext>
          </c:extLst>
        </c:ser>
        <c:dLbls>
          <c:dLblPos val="outEnd"/>
          <c:showLegendKey val="0"/>
          <c:showVal val="1"/>
          <c:showCatName val="0"/>
          <c:showSerName val="0"/>
          <c:showPercent val="0"/>
          <c:showBubbleSize val="0"/>
        </c:dLbls>
        <c:gapWidth val="107"/>
        <c:overlap val="-27"/>
        <c:axId val="630488600"/>
        <c:axId val="630487880"/>
      </c:barChart>
      <c:catAx>
        <c:axId val="630488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30487880"/>
        <c:crosses val="autoZero"/>
        <c:auto val="1"/>
        <c:lblAlgn val="ctr"/>
        <c:lblOffset val="100"/>
        <c:noMultiLvlLbl val="0"/>
      </c:catAx>
      <c:valAx>
        <c:axId val="630487880"/>
        <c:scaling>
          <c:orientation val="minMax"/>
        </c:scaling>
        <c:delete val="1"/>
        <c:axPos val="l"/>
        <c:numFmt formatCode="General" sourceLinked="1"/>
        <c:majorTickMark val="out"/>
        <c:minorTickMark val="none"/>
        <c:tickLblPos val="nextTo"/>
        <c:crossAx val="630488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'Marital status'!$E$3</c:f>
              <c:strCache>
                <c:ptCount val="1"/>
                <c:pt idx="0">
                  <c:v>Attrition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'Marital status'!$D$4:$D$6</c:f>
              <c:strCache>
                <c:ptCount val="3"/>
                <c:pt idx="0">
                  <c:v>Divorced</c:v>
                </c:pt>
                <c:pt idx="1">
                  <c:v>Married</c:v>
                </c:pt>
                <c:pt idx="2">
                  <c:v>Single</c:v>
                </c:pt>
              </c:strCache>
            </c:strRef>
          </c:xVal>
          <c:yVal>
            <c:numRef>
              <c:f>'Marital status'!$E$4:$E$6</c:f>
              <c:numCache>
                <c:formatCode>General</c:formatCode>
                <c:ptCount val="3"/>
                <c:pt idx="0">
                  <c:v>327</c:v>
                </c:pt>
                <c:pt idx="1">
                  <c:v>673</c:v>
                </c:pt>
                <c:pt idx="2">
                  <c:v>470</c:v>
                </c:pt>
              </c:numCache>
            </c:numRef>
          </c:yVal>
          <c:smooth val="0"/>
          <c:extLst>
            <c:ext xmlns:c16="http://schemas.microsoft.com/office/drawing/2014/chart" uri="{C3380CC4-5D6E-409C-BE32-E72D297353CC}">
              <c16:uniqueId val="{00000000-E429-40B4-A89F-34770F5C4EEA}"/>
            </c:ext>
          </c:extLst>
        </c:ser>
        <c:dLbls>
          <c:dLblPos val="t"/>
          <c:showLegendKey val="0"/>
          <c:showVal val="1"/>
          <c:showCatName val="0"/>
          <c:showSerName val="0"/>
          <c:showPercent val="0"/>
          <c:showBubbleSize val="0"/>
        </c:dLbls>
        <c:axId val="543769568"/>
        <c:axId val="543777128"/>
      </c:scatterChart>
      <c:valAx>
        <c:axId val="543769568"/>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77128"/>
        <c:crosses val="autoZero"/>
        <c:crossBetween val="midCat"/>
      </c:valAx>
      <c:valAx>
        <c:axId val="543777128"/>
        <c:scaling>
          <c:orientation val="minMax"/>
        </c:scaling>
        <c:delete val="1"/>
        <c:axPos val="l"/>
        <c:numFmt formatCode="General" sourceLinked="1"/>
        <c:majorTickMark val="out"/>
        <c:minorTickMark val="none"/>
        <c:tickLblPos val="nextTo"/>
        <c:crossAx val="5437695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A6FD95EC-07C0-4246-818A-F4EE6EFEEFCA}">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A6FD95EC-07C0-4246-818A-F4EE6EFEEFCA}">
          <cx:tx>
            <cx:txData>
              <cx:f>_xlchart.v1.4</cx:f>
              <cx:v>Attrition</cx:v>
            </cx:txData>
          </cx:tx>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18" Type="http://schemas.openxmlformats.org/officeDocument/2006/relationships/chart" Target="../charts/chart15.xml"/><Relationship Id="rId3" Type="http://schemas.openxmlformats.org/officeDocument/2006/relationships/image" Target="../media/image2.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4.xml"/><Relationship Id="rId2" Type="http://schemas.openxmlformats.org/officeDocument/2006/relationships/image" Target="../media/image5.pn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4.png"/><Relationship Id="rId15" Type="http://schemas.microsoft.com/office/2014/relationships/chartEx" Target="../charts/chartEx2.xml"/><Relationship Id="rId10" Type="http://schemas.openxmlformats.org/officeDocument/2006/relationships/chart" Target="../charts/chart10.xml"/><Relationship Id="rId4" Type="http://schemas.openxmlformats.org/officeDocument/2006/relationships/image" Target="../media/image3.png"/><Relationship Id="rId9" Type="http://schemas.openxmlformats.org/officeDocument/2006/relationships/chart" Target="../charts/chart9.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7</xdr:col>
      <xdr:colOff>594360</xdr:colOff>
      <xdr:row>4</xdr:row>
      <xdr:rowOff>1</xdr:rowOff>
    </xdr:from>
    <xdr:to>
      <xdr:col>10</xdr:col>
      <xdr:colOff>304800</xdr:colOff>
      <xdr:row>12</xdr:row>
      <xdr:rowOff>129541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4231B35-43CD-3BCA-05C6-CF9684AC9B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16040" y="792481"/>
              <a:ext cx="172212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217170</xdr:colOff>
      <xdr:row>5</xdr:row>
      <xdr:rowOff>76200</xdr:rowOff>
    </xdr:from>
    <xdr:to>
      <xdr:col>4</xdr:col>
      <xdr:colOff>274320</xdr:colOff>
      <xdr:row>8</xdr:row>
      <xdr:rowOff>30480</xdr:rowOff>
    </xdr:to>
    <xdr:graphicFrame macro="">
      <xdr:nvGraphicFramePr>
        <xdr:cNvPr id="5" name="Chart 4">
          <a:extLst>
            <a:ext uri="{FF2B5EF4-FFF2-40B4-BE49-F238E27FC236}">
              <a16:creationId xmlns:a16="http://schemas.microsoft.com/office/drawing/2014/main" id="{5C83F7C6-8D42-6C81-5DFB-CE65342F0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506730</xdr:colOff>
      <xdr:row>9</xdr:row>
      <xdr:rowOff>106680</xdr:rowOff>
    </xdr:from>
    <xdr:to>
      <xdr:col>8</xdr:col>
      <xdr:colOff>384810</xdr:colOff>
      <xdr:row>16</xdr:row>
      <xdr:rowOff>38100</xdr:rowOff>
    </xdr:to>
    <xdr:graphicFrame macro="">
      <xdr:nvGraphicFramePr>
        <xdr:cNvPr id="2" name="Chart 1">
          <a:extLst>
            <a:ext uri="{FF2B5EF4-FFF2-40B4-BE49-F238E27FC236}">
              <a16:creationId xmlns:a16="http://schemas.microsoft.com/office/drawing/2014/main" id="{8DFBDABE-DB75-24F8-D3FC-FF7256854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304800</xdr:colOff>
      <xdr:row>4</xdr:row>
      <xdr:rowOff>0</xdr:rowOff>
    </xdr:from>
    <xdr:to>
      <xdr:col>13</xdr:col>
      <xdr:colOff>121920</xdr:colOff>
      <xdr:row>17</xdr:row>
      <xdr:rowOff>120015</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32AB515D-B0A4-DD58-F8FA-8C052F7B128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138160" y="7924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381000</xdr:colOff>
      <xdr:row>5</xdr:row>
      <xdr:rowOff>7620</xdr:rowOff>
    </xdr:from>
    <xdr:to>
      <xdr:col>7</xdr:col>
      <xdr:colOff>198120</xdr:colOff>
      <xdr:row>18</xdr:row>
      <xdr:rowOff>127635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98513C11-6575-5BB6-1FF8-DC81C609BAC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998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358140</xdr:colOff>
      <xdr:row>4</xdr:row>
      <xdr:rowOff>76201</xdr:rowOff>
    </xdr:from>
    <xdr:to>
      <xdr:col>11</xdr:col>
      <xdr:colOff>190500</xdr:colOff>
      <xdr:row>9</xdr:row>
      <xdr:rowOff>152401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FF151FBF-33AA-F6ED-085D-5111263417A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048500" y="868681"/>
              <a:ext cx="184404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194310</xdr:colOff>
      <xdr:row>1</xdr:row>
      <xdr:rowOff>160020</xdr:rowOff>
    </xdr:from>
    <xdr:to>
      <xdr:col>14</xdr:col>
      <xdr:colOff>175260</xdr:colOff>
      <xdr:row>9</xdr:row>
      <xdr:rowOff>160020</xdr:rowOff>
    </xdr:to>
    <xdr:graphicFrame macro="">
      <xdr:nvGraphicFramePr>
        <xdr:cNvPr id="4" name="Chart 3">
          <a:extLst>
            <a:ext uri="{FF2B5EF4-FFF2-40B4-BE49-F238E27FC236}">
              <a16:creationId xmlns:a16="http://schemas.microsoft.com/office/drawing/2014/main" id="{F8368073-23D1-5432-DB9E-0F12BFEBD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163830</xdr:colOff>
      <xdr:row>5</xdr:row>
      <xdr:rowOff>99060</xdr:rowOff>
    </xdr:from>
    <xdr:to>
      <xdr:col>9</xdr:col>
      <xdr:colOff>41910</xdr:colOff>
      <xdr:row>19</xdr:row>
      <xdr:rowOff>68580</xdr:rowOff>
    </xdr:to>
    <xdr:graphicFrame macro="">
      <xdr:nvGraphicFramePr>
        <xdr:cNvPr id="3" name="Chart 2">
          <a:extLst>
            <a:ext uri="{FF2B5EF4-FFF2-40B4-BE49-F238E27FC236}">
              <a16:creationId xmlns:a16="http://schemas.microsoft.com/office/drawing/2014/main" id="{8CF651B5-9A23-0B1C-1C70-B8956D3AF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605790</xdr:colOff>
      <xdr:row>5</xdr:row>
      <xdr:rowOff>99060</xdr:rowOff>
    </xdr:from>
    <xdr:to>
      <xdr:col>9</xdr:col>
      <xdr:colOff>49530</xdr:colOff>
      <xdr:row>19</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C6100AA-C91F-9EC9-55BC-BE4C4F6708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0896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453390</xdr:colOff>
      <xdr:row>5</xdr:row>
      <xdr:rowOff>99060</xdr:rowOff>
    </xdr:from>
    <xdr:to>
      <xdr:col>9</xdr:col>
      <xdr:colOff>331470</xdr:colOff>
      <xdr:row>19</xdr:row>
      <xdr:rowOff>68580</xdr:rowOff>
    </xdr:to>
    <xdr:graphicFrame macro="">
      <xdr:nvGraphicFramePr>
        <xdr:cNvPr id="2" name="Chart 1">
          <a:extLst>
            <a:ext uri="{FF2B5EF4-FFF2-40B4-BE49-F238E27FC236}">
              <a16:creationId xmlns:a16="http://schemas.microsoft.com/office/drawing/2014/main" id="{680F1416-D3C5-95FB-0FF5-3F1E04AE9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186690</xdr:colOff>
      <xdr:row>10</xdr:row>
      <xdr:rowOff>76200</xdr:rowOff>
    </xdr:from>
    <xdr:to>
      <xdr:col>5</xdr:col>
      <xdr:colOff>80010</xdr:colOff>
      <xdr:row>24</xdr:row>
      <xdr:rowOff>45720</xdr:rowOff>
    </xdr:to>
    <xdr:graphicFrame macro="">
      <xdr:nvGraphicFramePr>
        <xdr:cNvPr id="3" name="Chart 2">
          <a:extLst>
            <a:ext uri="{FF2B5EF4-FFF2-40B4-BE49-F238E27FC236}">
              <a16:creationId xmlns:a16="http://schemas.microsoft.com/office/drawing/2014/main" id="{3745981B-D36D-3C82-37F0-3B1455BA5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339090</xdr:colOff>
      <xdr:row>5</xdr:row>
      <xdr:rowOff>99060</xdr:rowOff>
    </xdr:from>
    <xdr:to>
      <xdr:col>8</xdr:col>
      <xdr:colOff>647700</xdr:colOff>
      <xdr:row>14</xdr:row>
      <xdr:rowOff>137160</xdr:rowOff>
    </xdr:to>
    <xdr:graphicFrame macro="">
      <xdr:nvGraphicFramePr>
        <xdr:cNvPr id="2" name="Chart 1">
          <a:extLst>
            <a:ext uri="{FF2B5EF4-FFF2-40B4-BE49-F238E27FC236}">
              <a16:creationId xmlns:a16="http://schemas.microsoft.com/office/drawing/2014/main" id="{1165FE11-447C-484D-BB64-CF0640A00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604406</xdr:colOff>
      <xdr:row>0</xdr:row>
      <xdr:rowOff>180108</xdr:rowOff>
    </xdr:from>
    <xdr:ext cx="17960686" cy="9088581"/>
    <xdr:grpSp>
      <xdr:nvGrpSpPr>
        <xdr:cNvPr id="2" name="Shape 2">
          <a:extLst>
            <a:ext uri="{FF2B5EF4-FFF2-40B4-BE49-F238E27FC236}">
              <a16:creationId xmlns:a16="http://schemas.microsoft.com/office/drawing/2014/main" id="{00000000-0008-0000-0300-000002000000}"/>
            </a:ext>
          </a:extLst>
        </xdr:cNvPr>
        <xdr:cNvGrpSpPr/>
      </xdr:nvGrpSpPr>
      <xdr:grpSpPr>
        <a:xfrm>
          <a:off x="1906733" y="180108"/>
          <a:ext cx="17960686" cy="9088581"/>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a:scene3d>
              <a:camera prst="orthographicFront"/>
              <a:lightRig rig="threePt" dir="t"/>
            </a:scene3d>
            <a:sp3d>
              <a:bevelT w="12700"/>
            </a:sp3d>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a:scene3d>
              <a:camera prst="orthographicFront"/>
              <a:lightRig rig="threePt" dir="t"/>
            </a:scene3d>
            <a:sp3d>
              <a:bevelT w="12700"/>
            </a:sp3d>
          </xdr:spPr>
        </xdr:cxnSp>
      </xdr:grpSp>
    </xdr:grpSp>
    <xdr:clientData fLocksWithSheet="0"/>
  </xdr:oneCellAnchor>
  <xdr:twoCellAnchor>
    <xdr:from>
      <xdr:col>3</xdr:col>
      <xdr:colOff>96982</xdr:colOff>
      <xdr:row>7</xdr:row>
      <xdr:rowOff>41564</xdr:rowOff>
    </xdr:from>
    <xdr:to>
      <xdr:col>7</xdr:col>
      <xdr:colOff>415637</xdr:colOff>
      <xdr:row>9</xdr:row>
      <xdr:rowOff>110836</xdr:rowOff>
    </xdr:to>
    <xdr:sp macro="" textlink="">
      <xdr:nvSpPr>
        <xdr:cNvPr id="3" name="TextBox 2">
          <a:extLst>
            <a:ext uri="{FF2B5EF4-FFF2-40B4-BE49-F238E27FC236}">
              <a16:creationId xmlns:a16="http://schemas.microsoft.com/office/drawing/2014/main" id="{BD5E6318-4AF7-1303-D000-837A04025D4C}"/>
            </a:ext>
          </a:extLst>
        </xdr:cNvPr>
        <xdr:cNvSpPr txBox="1"/>
      </xdr:nvSpPr>
      <xdr:spPr>
        <a:xfrm>
          <a:off x="2050473" y="1399309"/>
          <a:ext cx="292330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602928"/>
              </a:solidFill>
            </a:rPr>
            <a:t>Total Employees</a:t>
          </a:r>
        </a:p>
      </xdr:txBody>
    </xdr:sp>
    <xdr:clientData/>
  </xdr:twoCellAnchor>
  <xdr:twoCellAnchor>
    <xdr:from>
      <xdr:col>4</xdr:col>
      <xdr:colOff>235527</xdr:colOff>
      <xdr:row>10</xdr:row>
      <xdr:rowOff>0</xdr:rowOff>
    </xdr:from>
    <xdr:to>
      <xdr:col>6</xdr:col>
      <xdr:colOff>180109</xdr:colOff>
      <xdr:row>11</xdr:row>
      <xdr:rowOff>152400</xdr:rowOff>
    </xdr:to>
    <xdr:sp macro="" textlink="">
      <xdr:nvSpPr>
        <xdr:cNvPr id="5" name="TextBox 4">
          <a:extLst>
            <a:ext uri="{FF2B5EF4-FFF2-40B4-BE49-F238E27FC236}">
              <a16:creationId xmlns:a16="http://schemas.microsoft.com/office/drawing/2014/main" id="{EBB37BBA-5E2A-573F-0E26-3B3E8FD30687}"/>
            </a:ext>
          </a:extLst>
        </xdr:cNvPr>
        <xdr:cNvSpPr txBox="1"/>
      </xdr:nvSpPr>
      <xdr:spPr>
        <a:xfrm>
          <a:off x="2840182" y="1939636"/>
          <a:ext cx="1246909"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002060"/>
              </a:solidFill>
            </a:rPr>
            <a:t>1470</a:t>
          </a:r>
        </a:p>
      </xdr:txBody>
    </xdr:sp>
    <xdr:clientData/>
  </xdr:twoCellAnchor>
  <xdr:twoCellAnchor>
    <xdr:from>
      <xdr:col>8</xdr:col>
      <xdr:colOff>512617</xdr:colOff>
      <xdr:row>7</xdr:row>
      <xdr:rowOff>96983</xdr:rowOff>
    </xdr:from>
    <xdr:to>
      <xdr:col>13</xdr:col>
      <xdr:colOff>27708</xdr:colOff>
      <xdr:row>10</xdr:row>
      <xdr:rowOff>13856</xdr:rowOff>
    </xdr:to>
    <xdr:sp macro="" textlink="">
      <xdr:nvSpPr>
        <xdr:cNvPr id="6" name="TextBox 5">
          <a:extLst>
            <a:ext uri="{FF2B5EF4-FFF2-40B4-BE49-F238E27FC236}">
              <a16:creationId xmlns:a16="http://schemas.microsoft.com/office/drawing/2014/main" id="{963A53F8-BC4B-1979-918E-F9391C8D6CCE}"/>
            </a:ext>
          </a:extLst>
        </xdr:cNvPr>
        <xdr:cNvSpPr txBox="1"/>
      </xdr:nvSpPr>
      <xdr:spPr>
        <a:xfrm>
          <a:off x="5721926" y="1454728"/>
          <a:ext cx="2770909"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602928"/>
              </a:solidFill>
            </a:rPr>
            <a:t>Attrition</a:t>
          </a:r>
        </a:p>
      </xdr:txBody>
    </xdr:sp>
    <xdr:clientData/>
  </xdr:twoCellAnchor>
  <xdr:twoCellAnchor>
    <xdr:from>
      <xdr:col>8</xdr:col>
      <xdr:colOff>207819</xdr:colOff>
      <xdr:row>9</xdr:row>
      <xdr:rowOff>124691</xdr:rowOff>
    </xdr:from>
    <xdr:to>
      <xdr:col>11</xdr:col>
      <xdr:colOff>235528</xdr:colOff>
      <xdr:row>11</xdr:row>
      <xdr:rowOff>83128</xdr:rowOff>
    </xdr:to>
    <xdr:sp macro="" textlink="KPI!B9">
      <xdr:nvSpPr>
        <xdr:cNvPr id="7" name="TextBox 6">
          <a:extLst>
            <a:ext uri="{FF2B5EF4-FFF2-40B4-BE49-F238E27FC236}">
              <a16:creationId xmlns:a16="http://schemas.microsoft.com/office/drawing/2014/main" id="{05FDE688-9BE0-CA16-9C46-3273D6496B62}"/>
            </a:ext>
          </a:extLst>
        </xdr:cNvPr>
        <xdr:cNvSpPr txBox="1"/>
      </xdr:nvSpPr>
      <xdr:spPr>
        <a:xfrm>
          <a:off x="5417128" y="1870364"/>
          <a:ext cx="19812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D4E489-5071-44EA-A0AF-97C011879763}" type="TxLink">
            <a:rPr lang="en-US" sz="2400" b="1" i="0" u="none" strike="noStrike">
              <a:solidFill>
                <a:srgbClr val="002060"/>
              </a:solidFill>
              <a:latin typeface="Calibri"/>
              <a:ea typeface="Calibri"/>
              <a:cs typeface="Calibri"/>
            </a:rPr>
            <a:pPr algn="ctr"/>
            <a:t>237</a:t>
          </a:fld>
          <a:endParaRPr lang="en-IN" sz="2400" b="1">
            <a:solidFill>
              <a:srgbClr val="002060"/>
            </a:solidFill>
          </a:endParaRPr>
        </a:p>
      </xdr:txBody>
    </xdr:sp>
    <xdr:clientData/>
  </xdr:twoCellAnchor>
  <xdr:twoCellAnchor>
    <xdr:from>
      <xdr:col>14</xdr:col>
      <xdr:colOff>27709</xdr:colOff>
      <xdr:row>7</xdr:row>
      <xdr:rowOff>69273</xdr:rowOff>
    </xdr:from>
    <xdr:to>
      <xdr:col>17</xdr:col>
      <xdr:colOff>498763</xdr:colOff>
      <xdr:row>10</xdr:row>
      <xdr:rowOff>96982</xdr:rowOff>
    </xdr:to>
    <xdr:sp macro="" textlink="">
      <xdr:nvSpPr>
        <xdr:cNvPr id="8" name="TextBox 7">
          <a:extLst>
            <a:ext uri="{FF2B5EF4-FFF2-40B4-BE49-F238E27FC236}">
              <a16:creationId xmlns:a16="http://schemas.microsoft.com/office/drawing/2014/main" id="{C02CF194-96C7-F9B2-CBB6-71E30C520507}"/>
            </a:ext>
          </a:extLst>
        </xdr:cNvPr>
        <xdr:cNvSpPr txBox="1"/>
      </xdr:nvSpPr>
      <xdr:spPr>
        <a:xfrm>
          <a:off x="9144000" y="1427018"/>
          <a:ext cx="242454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602928"/>
              </a:solidFill>
            </a:rPr>
            <a:t>Active Employees</a:t>
          </a:r>
        </a:p>
      </xdr:txBody>
    </xdr:sp>
    <xdr:clientData/>
  </xdr:twoCellAnchor>
  <xdr:twoCellAnchor>
    <xdr:from>
      <xdr:col>14</xdr:col>
      <xdr:colOff>360218</xdr:colOff>
      <xdr:row>9</xdr:row>
      <xdr:rowOff>180109</xdr:rowOff>
    </xdr:from>
    <xdr:to>
      <xdr:col>17</xdr:col>
      <xdr:colOff>484909</xdr:colOff>
      <xdr:row>11</xdr:row>
      <xdr:rowOff>180109</xdr:rowOff>
    </xdr:to>
    <xdr:sp macro="" textlink="KPI!D9">
      <xdr:nvSpPr>
        <xdr:cNvPr id="9" name="TextBox 8">
          <a:extLst>
            <a:ext uri="{FF2B5EF4-FFF2-40B4-BE49-F238E27FC236}">
              <a16:creationId xmlns:a16="http://schemas.microsoft.com/office/drawing/2014/main" id="{02D95225-837E-3C4C-B215-0C059F4315E3}"/>
            </a:ext>
          </a:extLst>
        </xdr:cNvPr>
        <xdr:cNvSpPr txBox="1"/>
      </xdr:nvSpPr>
      <xdr:spPr>
        <a:xfrm>
          <a:off x="9476509" y="1925782"/>
          <a:ext cx="2078182" cy="387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E18522-AB12-49E5-AFA4-4EA773D0DE1C}" type="TxLink">
            <a:rPr lang="en-US" sz="2400" b="1" i="0" u="none" strike="noStrike">
              <a:solidFill>
                <a:srgbClr val="002060"/>
              </a:solidFill>
              <a:latin typeface="Calibri"/>
              <a:ea typeface="Calibri"/>
              <a:cs typeface="Calibri"/>
            </a:rPr>
            <a:pPr algn="ctr"/>
            <a:t>1233</a:t>
          </a:fld>
          <a:endParaRPr lang="en-IN" sz="2400" b="1">
            <a:solidFill>
              <a:srgbClr val="002060"/>
            </a:solidFill>
          </a:endParaRPr>
        </a:p>
      </xdr:txBody>
    </xdr:sp>
    <xdr:clientData/>
  </xdr:twoCellAnchor>
  <xdr:twoCellAnchor>
    <xdr:from>
      <xdr:col>19</xdr:col>
      <xdr:colOff>484909</xdr:colOff>
      <xdr:row>7</xdr:row>
      <xdr:rowOff>27710</xdr:rowOff>
    </xdr:from>
    <xdr:to>
      <xdr:col>24</xdr:col>
      <xdr:colOff>27709</xdr:colOff>
      <xdr:row>10</xdr:row>
      <xdr:rowOff>27709</xdr:rowOff>
    </xdr:to>
    <xdr:sp macro="" textlink="">
      <xdr:nvSpPr>
        <xdr:cNvPr id="10" name="TextBox 9">
          <a:extLst>
            <a:ext uri="{FF2B5EF4-FFF2-40B4-BE49-F238E27FC236}">
              <a16:creationId xmlns:a16="http://schemas.microsoft.com/office/drawing/2014/main" id="{6412B0AF-0A2D-DB5C-18F6-B1D6BF990CF0}"/>
            </a:ext>
          </a:extLst>
        </xdr:cNvPr>
        <xdr:cNvSpPr txBox="1"/>
      </xdr:nvSpPr>
      <xdr:spPr>
        <a:xfrm>
          <a:off x="12857018" y="1385455"/>
          <a:ext cx="2798618" cy="581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602928"/>
              </a:solidFill>
            </a:rPr>
            <a:t>Attration</a:t>
          </a:r>
          <a:r>
            <a:rPr lang="en-IN" sz="2400" b="1" baseline="0">
              <a:solidFill>
                <a:srgbClr val="602928"/>
              </a:solidFill>
            </a:rPr>
            <a:t> Rate</a:t>
          </a:r>
          <a:endParaRPr lang="en-IN" sz="2400" b="1">
            <a:solidFill>
              <a:srgbClr val="602928"/>
            </a:solidFill>
          </a:endParaRPr>
        </a:p>
      </xdr:txBody>
    </xdr:sp>
    <xdr:clientData/>
  </xdr:twoCellAnchor>
  <xdr:twoCellAnchor>
    <xdr:from>
      <xdr:col>20</xdr:col>
      <xdr:colOff>124692</xdr:colOff>
      <xdr:row>9</xdr:row>
      <xdr:rowOff>83127</xdr:rowOff>
    </xdr:from>
    <xdr:to>
      <xdr:col>23</xdr:col>
      <xdr:colOff>415637</xdr:colOff>
      <xdr:row>11</xdr:row>
      <xdr:rowOff>124691</xdr:rowOff>
    </xdr:to>
    <xdr:sp macro="" textlink="KPI!E9">
      <xdr:nvSpPr>
        <xdr:cNvPr id="11" name="TextBox 10">
          <a:extLst>
            <a:ext uri="{FF2B5EF4-FFF2-40B4-BE49-F238E27FC236}">
              <a16:creationId xmlns:a16="http://schemas.microsoft.com/office/drawing/2014/main" id="{3B4BAFB1-1085-1020-8893-A2957E0511F9}"/>
            </a:ext>
          </a:extLst>
        </xdr:cNvPr>
        <xdr:cNvSpPr txBox="1"/>
      </xdr:nvSpPr>
      <xdr:spPr>
        <a:xfrm>
          <a:off x="13147965" y="1828800"/>
          <a:ext cx="2244436" cy="42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AB8411-FC85-423B-BF35-95E26126B95F}" type="TxLink">
            <a:rPr lang="en-US" sz="2400" b="1" i="0" u="none" strike="noStrike">
              <a:solidFill>
                <a:srgbClr val="002060"/>
              </a:solidFill>
              <a:latin typeface="Calibri"/>
              <a:ea typeface="Calibri"/>
              <a:cs typeface="Calibri"/>
            </a:rPr>
            <a:pPr algn="ctr"/>
            <a:t>16.12%</a:t>
          </a:fld>
          <a:endParaRPr lang="en-IN" sz="2400" b="1">
            <a:solidFill>
              <a:srgbClr val="002060"/>
            </a:solidFill>
          </a:endParaRPr>
        </a:p>
      </xdr:txBody>
    </xdr:sp>
    <xdr:clientData/>
  </xdr:twoCellAnchor>
  <xdr:twoCellAnchor>
    <xdr:from>
      <xdr:col>25</xdr:col>
      <xdr:colOff>166254</xdr:colOff>
      <xdr:row>7</xdr:row>
      <xdr:rowOff>27709</xdr:rowOff>
    </xdr:from>
    <xdr:to>
      <xdr:col>28</xdr:col>
      <xdr:colOff>581891</xdr:colOff>
      <xdr:row>9</xdr:row>
      <xdr:rowOff>180108</xdr:rowOff>
    </xdr:to>
    <xdr:sp macro="" textlink="">
      <xdr:nvSpPr>
        <xdr:cNvPr id="12" name="TextBox 11">
          <a:extLst>
            <a:ext uri="{FF2B5EF4-FFF2-40B4-BE49-F238E27FC236}">
              <a16:creationId xmlns:a16="http://schemas.microsoft.com/office/drawing/2014/main" id="{2981ECCE-D48B-D48D-487F-AA83F1A5CF60}"/>
            </a:ext>
          </a:extLst>
        </xdr:cNvPr>
        <xdr:cNvSpPr txBox="1"/>
      </xdr:nvSpPr>
      <xdr:spPr>
        <a:xfrm>
          <a:off x="16445345" y="1385454"/>
          <a:ext cx="2784764"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602928"/>
              </a:solidFill>
            </a:rPr>
            <a:t>Average Age</a:t>
          </a:r>
        </a:p>
      </xdr:txBody>
    </xdr:sp>
    <xdr:clientData/>
  </xdr:twoCellAnchor>
  <xdr:twoCellAnchor>
    <xdr:from>
      <xdr:col>24</xdr:col>
      <xdr:colOff>484909</xdr:colOff>
      <xdr:row>9</xdr:row>
      <xdr:rowOff>69271</xdr:rowOff>
    </xdr:from>
    <xdr:to>
      <xdr:col>27</xdr:col>
      <xdr:colOff>665019</xdr:colOff>
      <xdr:row>12</xdr:row>
      <xdr:rowOff>-1</xdr:rowOff>
    </xdr:to>
    <xdr:sp macro="" textlink="KPI!C9">
      <xdr:nvSpPr>
        <xdr:cNvPr id="13" name="TextBox 12">
          <a:extLst>
            <a:ext uri="{FF2B5EF4-FFF2-40B4-BE49-F238E27FC236}">
              <a16:creationId xmlns:a16="http://schemas.microsoft.com/office/drawing/2014/main" id="{5883F1B7-B27D-BC0F-3735-DF19C3D939A6}"/>
            </a:ext>
          </a:extLst>
        </xdr:cNvPr>
        <xdr:cNvSpPr txBox="1"/>
      </xdr:nvSpPr>
      <xdr:spPr>
        <a:xfrm>
          <a:off x="16112836" y="1814944"/>
          <a:ext cx="2341419" cy="512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647A9C-1401-4800-9036-310AAACD264D}" type="TxLink">
            <a:rPr lang="en-US" sz="2400" b="1" i="0" u="none" strike="noStrike">
              <a:solidFill>
                <a:srgbClr val="002060"/>
              </a:solidFill>
              <a:latin typeface="Calibri"/>
              <a:ea typeface="Calibri"/>
              <a:cs typeface="Calibri"/>
            </a:rPr>
            <a:pPr algn="ctr"/>
            <a:t>37</a:t>
          </a:fld>
          <a:endParaRPr lang="en-IN" sz="2400" b="1">
            <a:solidFill>
              <a:srgbClr val="002060"/>
            </a:solidFill>
          </a:endParaRPr>
        </a:p>
      </xdr:txBody>
    </xdr:sp>
    <xdr:clientData/>
  </xdr:twoCellAnchor>
  <xdr:oneCellAnchor>
    <xdr:from>
      <xdr:col>6</xdr:col>
      <xdr:colOff>554182</xdr:colOff>
      <xdr:row>7</xdr:row>
      <xdr:rowOff>41563</xdr:rowOff>
    </xdr:from>
    <xdr:ext cx="775854" cy="886692"/>
    <xdr:pic>
      <xdr:nvPicPr>
        <xdr:cNvPr id="14" name="image4.png">
          <a:extLst>
            <a:ext uri="{FF2B5EF4-FFF2-40B4-BE49-F238E27FC236}">
              <a16:creationId xmlns:a16="http://schemas.microsoft.com/office/drawing/2014/main" id="{A00FBF39-1A02-4529-B9E5-00579B6C8B08}"/>
            </a:ext>
          </a:extLst>
        </xdr:cNvPr>
        <xdr:cNvPicPr preferRelativeResize="0"/>
      </xdr:nvPicPr>
      <xdr:blipFill>
        <a:blip xmlns:r="http://schemas.openxmlformats.org/officeDocument/2006/relationships" r:embed="rId1" cstate="print"/>
        <a:stretch>
          <a:fillRect/>
        </a:stretch>
      </xdr:blipFill>
      <xdr:spPr>
        <a:xfrm>
          <a:off x="4461164" y="1399308"/>
          <a:ext cx="775854" cy="886692"/>
        </a:xfrm>
        <a:prstGeom prst="rect">
          <a:avLst/>
        </a:prstGeom>
        <a:noFill/>
      </xdr:spPr>
    </xdr:pic>
    <xdr:clientData fLocksWithSheet="0"/>
  </xdr:oneCellAnchor>
  <xdr:oneCellAnchor>
    <xdr:from>
      <xdr:col>11</xdr:col>
      <xdr:colOff>41565</xdr:colOff>
      <xdr:row>7</xdr:row>
      <xdr:rowOff>83128</xdr:rowOff>
    </xdr:from>
    <xdr:ext cx="1676400" cy="983672"/>
    <xdr:pic>
      <xdr:nvPicPr>
        <xdr:cNvPr id="15" name="image7.png">
          <a:extLst>
            <a:ext uri="{FF2B5EF4-FFF2-40B4-BE49-F238E27FC236}">
              <a16:creationId xmlns:a16="http://schemas.microsoft.com/office/drawing/2014/main" id="{68A78F40-A346-4989-8973-064CA4779BA6}"/>
            </a:ext>
          </a:extLst>
        </xdr:cNvPr>
        <xdr:cNvPicPr preferRelativeResize="0"/>
      </xdr:nvPicPr>
      <xdr:blipFill>
        <a:blip xmlns:r="http://schemas.openxmlformats.org/officeDocument/2006/relationships" r:embed="rId2" cstate="print"/>
        <a:stretch>
          <a:fillRect/>
        </a:stretch>
      </xdr:blipFill>
      <xdr:spPr>
        <a:xfrm>
          <a:off x="7204365" y="1440873"/>
          <a:ext cx="1676400" cy="983672"/>
        </a:xfrm>
        <a:prstGeom prst="rect">
          <a:avLst/>
        </a:prstGeom>
        <a:noFill/>
      </xdr:spPr>
    </xdr:pic>
    <xdr:clientData fLocksWithSheet="0"/>
  </xdr:oneCellAnchor>
  <xdr:oneCellAnchor>
    <xdr:from>
      <xdr:col>17</xdr:col>
      <xdr:colOff>438148</xdr:colOff>
      <xdr:row>7</xdr:row>
      <xdr:rowOff>41564</xdr:rowOff>
    </xdr:from>
    <xdr:ext cx="781052" cy="942109"/>
    <xdr:pic>
      <xdr:nvPicPr>
        <xdr:cNvPr id="16" name="image5.png">
          <a:extLst>
            <a:ext uri="{FF2B5EF4-FFF2-40B4-BE49-F238E27FC236}">
              <a16:creationId xmlns:a16="http://schemas.microsoft.com/office/drawing/2014/main" id="{55A14662-F9F9-445F-B1CA-4C63B1F231BB}"/>
            </a:ext>
          </a:extLst>
        </xdr:cNvPr>
        <xdr:cNvPicPr preferRelativeResize="0"/>
      </xdr:nvPicPr>
      <xdr:blipFill>
        <a:blip xmlns:r="http://schemas.openxmlformats.org/officeDocument/2006/relationships" r:embed="rId3" cstate="print"/>
        <a:stretch>
          <a:fillRect/>
        </a:stretch>
      </xdr:blipFill>
      <xdr:spPr>
        <a:xfrm>
          <a:off x="11507930" y="1399309"/>
          <a:ext cx="781052" cy="942109"/>
        </a:xfrm>
        <a:prstGeom prst="rect">
          <a:avLst/>
        </a:prstGeom>
        <a:noFill/>
      </xdr:spPr>
    </xdr:pic>
    <xdr:clientData fLocksWithSheet="0"/>
  </xdr:oneCellAnchor>
  <xdr:oneCellAnchor>
    <xdr:from>
      <xdr:col>23</xdr:col>
      <xdr:colOff>83127</xdr:colOff>
      <xdr:row>7</xdr:row>
      <xdr:rowOff>96982</xdr:rowOff>
    </xdr:from>
    <xdr:ext cx="914399" cy="762000"/>
    <xdr:pic>
      <xdr:nvPicPr>
        <xdr:cNvPr id="17" name="image2.png">
          <a:extLst>
            <a:ext uri="{FF2B5EF4-FFF2-40B4-BE49-F238E27FC236}">
              <a16:creationId xmlns:a16="http://schemas.microsoft.com/office/drawing/2014/main" id="{04737708-EF18-49FD-955F-37C67332989C}"/>
            </a:ext>
          </a:extLst>
        </xdr:cNvPr>
        <xdr:cNvPicPr preferRelativeResize="0"/>
      </xdr:nvPicPr>
      <xdr:blipFill>
        <a:blip xmlns:r="http://schemas.openxmlformats.org/officeDocument/2006/relationships" r:embed="rId4" cstate="print"/>
        <a:stretch>
          <a:fillRect/>
        </a:stretch>
      </xdr:blipFill>
      <xdr:spPr>
        <a:xfrm>
          <a:off x="15059891" y="1454727"/>
          <a:ext cx="914399" cy="762000"/>
        </a:xfrm>
        <a:prstGeom prst="rect">
          <a:avLst/>
        </a:prstGeom>
        <a:noFill/>
      </xdr:spPr>
    </xdr:pic>
    <xdr:clientData fLocksWithSheet="0"/>
  </xdr:oneCellAnchor>
  <xdr:oneCellAnchor>
    <xdr:from>
      <xdr:col>27</xdr:col>
      <xdr:colOff>651163</xdr:colOff>
      <xdr:row>7</xdr:row>
      <xdr:rowOff>96981</xdr:rowOff>
    </xdr:from>
    <xdr:ext cx="983672" cy="831273"/>
    <xdr:pic>
      <xdr:nvPicPr>
        <xdr:cNvPr id="18" name="image6.png">
          <a:extLst>
            <a:ext uri="{FF2B5EF4-FFF2-40B4-BE49-F238E27FC236}">
              <a16:creationId xmlns:a16="http://schemas.microsoft.com/office/drawing/2014/main" id="{4FE98BED-0524-4D25-BC38-B6235B69EBBF}"/>
            </a:ext>
          </a:extLst>
        </xdr:cNvPr>
        <xdr:cNvPicPr preferRelativeResize="0"/>
      </xdr:nvPicPr>
      <xdr:blipFill>
        <a:blip xmlns:r="http://schemas.openxmlformats.org/officeDocument/2006/relationships" r:embed="rId5" cstate="print"/>
        <a:stretch>
          <a:fillRect/>
        </a:stretch>
      </xdr:blipFill>
      <xdr:spPr>
        <a:xfrm>
          <a:off x="18440399" y="1454726"/>
          <a:ext cx="983672" cy="831273"/>
        </a:xfrm>
        <a:prstGeom prst="rect">
          <a:avLst/>
        </a:prstGeom>
        <a:noFill/>
      </xdr:spPr>
    </xdr:pic>
    <xdr:clientData fLocksWithSheet="0"/>
  </xdr:oneCellAnchor>
  <xdr:twoCellAnchor>
    <xdr:from>
      <xdr:col>3</xdr:col>
      <xdr:colOff>180110</xdr:colOff>
      <xdr:row>1</xdr:row>
      <xdr:rowOff>138546</xdr:rowOff>
    </xdr:from>
    <xdr:to>
      <xdr:col>15</xdr:col>
      <xdr:colOff>332510</xdr:colOff>
      <xdr:row>5</xdr:row>
      <xdr:rowOff>27709</xdr:rowOff>
    </xdr:to>
    <xdr:sp macro="" textlink="">
      <xdr:nvSpPr>
        <xdr:cNvPr id="19" name="TextBox 18">
          <a:extLst>
            <a:ext uri="{FF2B5EF4-FFF2-40B4-BE49-F238E27FC236}">
              <a16:creationId xmlns:a16="http://schemas.microsoft.com/office/drawing/2014/main" id="{C1F57D7E-045C-E860-3116-132B0824E750}"/>
            </a:ext>
          </a:extLst>
        </xdr:cNvPr>
        <xdr:cNvSpPr txBox="1"/>
      </xdr:nvSpPr>
      <xdr:spPr>
        <a:xfrm>
          <a:off x="2133601" y="332510"/>
          <a:ext cx="7966364" cy="66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t>               </a:t>
          </a:r>
          <a:r>
            <a:rPr lang="en-IN" sz="4000" b="1">
              <a:solidFill>
                <a:srgbClr val="002060"/>
              </a:solidFill>
            </a:rPr>
            <a:t>HR ANALYITICS DASHBOARD</a:t>
          </a:r>
        </a:p>
      </xdr:txBody>
    </xdr:sp>
    <xdr:clientData/>
  </xdr:twoCellAnchor>
  <xdr:oneCellAnchor>
    <xdr:from>
      <xdr:col>3</xdr:col>
      <xdr:colOff>623454</xdr:colOff>
      <xdr:row>1</xdr:row>
      <xdr:rowOff>138545</xdr:rowOff>
    </xdr:from>
    <xdr:ext cx="845128" cy="720435"/>
    <xdr:pic>
      <xdr:nvPicPr>
        <xdr:cNvPr id="20" name="image1.png">
          <a:extLst>
            <a:ext uri="{FF2B5EF4-FFF2-40B4-BE49-F238E27FC236}">
              <a16:creationId xmlns:a16="http://schemas.microsoft.com/office/drawing/2014/main" id="{BF8961ED-87A5-413C-98A1-68752CB14415}"/>
            </a:ext>
          </a:extLst>
        </xdr:cNvPr>
        <xdr:cNvPicPr preferRelativeResize="0"/>
      </xdr:nvPicPr>
      <xdr:blipFill>
        <a:blip xmlns:r="http://schemas.openxmlformats.org/officeDocument/2006/relationships" r:embed="rId6" cstate="print"/>
        <a:stretch>
          <a:fillRect/>
        </a:stretch>
      </xdr:blipFill>
      <xdr:spPr>
        <a:xfrm>
          <a:off x="2576945" y="332509"/>
          <a:ext cx="845128" cy="720435"/>
        </a:xfrm>
        <a:prstGeom prst="rect">
          <a:avLst/>
        </a:prstGeom>
        <a:noFill/>
      </xdr:spPr>
    </xdr:pic>
    <xdr:clientData fLocksWithSheet="0"/>
  </xdr:oneCellAnchor>
  <xdr:oneCellAnchor>
    <xdr:from>
      <xdr:col>19</xdr:col>
      <xdr:colOff>133350</xdr:colOff>
      <xdr:row>1</xdr:row>
      <xdr:rowOff>69270</xdr:rowOff>
    </xdr:from>
    <xdr:ext cx="975014" cy="845129"/>
    <xdr:pic>
      <xdr:nvPicPr>
        <xdr:cNvPr id="21" name="image3.png">
          <a:extLst>
            <a:ext uri="{FF2B5EF4-FFF2-40B4-BE49-F238E27FC236}">
              <a16:creationId xmlns:a16="http://schemas.microsoft.com/office/drawing/2014/main" id="{1BF56258-6EBB-42CE-81C5-E00206EA8BAE}"/>
            </a:ext>
          </a:extLst>
        </xdr:cNvPr>
        <xdr:cNvPicPr preferRelativeResize="0"/>
      </xdr:nvPicPr>
      <xdr:blipFill>
        <a:blip xmlns:r="http://schemas.openxmlformats.org/officeDocument/2006/relationships" r:embed="rId7" cstate="print"/>
        <a:stretch>
          <a:fillRect/>
        </a:stretch>
      </xdr:blipFill>
      <xdr:spPr>
        <a:xfrm>
          <a:off x="12505459" y="263234"/>
          <a:ext cx="975014" cy="845129"/>
        </a:xfrm>
        <a:prstGeom prst="rect">
          <a:avLst/>
        </a:prstGeom>
        <a:noFill/>
      </xdr:spPr>
    </xdr:pic>
    <xdr:clientData fLocksWithSheet="0"/>
  </xdr:oneCellAnchor>
  <xdr:twoCellAnchor>
    <xdr:from>
      <xdr:col>21</xdr:col>
      <xdr:colOff>27709</xdr:colOff>
      <xdr:row>1</xdr:row>
      <xdr:rowOff>110836</xdr:rowOff>
    </xdr:from>
    <xdr:to>
      <xdr:col>24</xdr:col>
      <xdr:colOff>415637</xdr:colOff>
      <xdr:row>5</xdr:row>
      <xdr:rowOff>138546</xdr:rowOff>
    </xdr:to>
    <xdr:sp macro="" textlink="">
      <xdr:nvSpPr>
        <xdr:cNvPr id="22" name="TextBox 21">
          <a:extLst>
            <a:ext uri="{FF2B5EF4-FFF2-40B4-BE49-F238E27FC236}">
              <a16:creationId xmlns:a16="http://schemas.microsoft.com/office/drawing/2014/main" id="{EB8A8B38-D4BF-002D-CB4A-97048153FCD5}"/>
            </a:ext>
          </a:extLst>
        </xdr:cNvPr>
        <xdr:cNvSpPr txBox="1"/>
      </xdr:nvSpPr>
      <xdr:spPr>
        <a:xfrm>
          <a:off x="13702145" y="304800"/>
          <a:ext cx="2341419" cy="803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rgbClr val="602928"/>
              </a:solidFill>
              <a:effectLst/>
              <a:latin typeface="+mn-lt"/>
              <a:ea typeface="+mn-ea"/>
              <a:cs typeface="+mn-cs"/>
            </a:rPr>
            <a:t> </a:t>
          </a:r>
          <a:r>
            <a:rPr lang="en-IN" sz="2000" b="1">
              <a:solidFill>
                <a:srgbClr val="602928"/>
              </a:solidFill>
              <a:effectLst/>
            </a:rPr>
            <a:t> </a:t>
          </a:r>
          <a:r>
            <a:rPr lang="en-IN" sz="2000" b="1" i="0" u="none" strike="noStrike">
              <a:solidFill>
                <a:srgbClr val="602928"/>
              </a:solidFill>
              <a:effectLst/>
              <a:latin typeface="+mn-lt"/>
              <a:ea typeface="+mn-ea"/>
              <a:cs typeface="+mn-cs"/>
            </a:rPr>
            <a:t>JOB SATISFACTION RATING</a:t>
          </a:r>
          <a:r>
            <a:rPr lang="en-IN" sz="2000" b="1">
              <a:solidFill>
                <a:srgbClr val="602928"/>
              </a:solidFill>
              <a:effectLst/>
            </a:rPr>
            <a:t> </a:t>
          </a:r>
          <a:endParaRPr lang="en-IN" sz="2000" b="1">
            <a:solidFill>
              <a:srgbClr val="602928"/>
            </a:solidFill>
          </a:endParaRPr>
        </a:p>
      </xdr:txBody>
    </xdr:sp>
    <xdr:clientData/>
  </xdr:twoCellAnchor>
  <xdr:twoCellAnchor>
    <xdr:from>
      <xdr:col>24</xdr:col>
      <xdr:colOff>415637</xdr:colOff>
      <xdr:row>1</xdr:row>
      <xdr:rowOff>69272</xdr:rowOff>
    </xdr:from>
    <xdr:to>
      <xdr:col>26</xdr:col>
      <xdr:colOff>235527</xdr:colOff>
      <xdr:row>5</xdr:row>
      <xdr:rowOff>110837</xdr:rowOff>
    </xdr:to>
    <xdr:graphicFrame macro="">
      <xdr:nvGraphicFramePr>
        <xdr:cNvPr id="23" name="Chart 22">
          <a:extLst>
            <a:ext uri="{FF2B5EF4-FFF2-40B4-BE49-F238E27FC236}">
              <a16:creationId xmlns:a16="http://schemas.microsoft.com/office/drawing/2014/main" id="{F5E6FC68-1897-462B-9C20-AFFD57BE7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41564</xdr:colOff>
      <xdr:row>3</xdr:row>
      <xdr:rowOff>0</xdr:rowOff>
    </xdr:from>
    <xdr:to>
      <xdr:col>25</xdr:col>
      <xdr:colOff>554182</xdr:colOff>
      <xdr:row>5</xdr:row>
      <xdr:rowOff>0</xdr:rowOff>
    </xdr:to>
    <xdr:sp macro="" textlink="Rating!$B$7">
      <xdr:nvSpPr>
        <xdr:cNvPr id="24" name="TextBox 23">
          <a:extLst>
            <a:ext uri="{FF2B5EF4-FFF2-40B4-BE49-F238E27FC236}">
              <a16:creationId xmlns:a16="http://schemas.microsoft.com/office/drawing/2014/main" id="{495FCA7D-0C6D-41D4-26FC-4F7C48A4692B}"/>
            </a:ext>
          </a:extLst>
        </xdr:cNvPr>
        <xdr:cNvSpPr txBox="1"/>
      </xdr:nvSpPr>
      <xdr:spPr>
        <a:xfrm>
          <a:off x="16320655" y="581891"/>
          <a:ext cx="512618" cy="387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DF117F-A41F-4CE6-8B99-EA103CC4C00F}" type="TxLink">
            <a:rPr lang="en-US" sz="1200" b="0" i="0" u="none" strike="noStrike">
              <a:solidFill>
                <a:srgbClr val="000000"/>
              </a:solidFill>
              <a:latin typeface="Calibri"/>
              <a:ea typeface="Calibri"/>
              <a:cs typeface="Calibri"/>
            </a:rPr>
            <a:pPr/>
            <a:t>2.6</a:t>
          </a:fld>
          <a:endParaRPr lang="en-IN" sz="1100"/>
        </a:p>
      </xdr:txBody>
    </xdr:sp>
    <xdr:clientData/>
  </xdr:twoCellAnchor>
  <xdr:twoCellAnchor>
    <xdr:from>
      <xdr:col>26</xdr:col>
      <xdr:colOff>13853</xdr:colOff>
      <xdr:row>1</xdr:row>
      <xdr:rowOff>166253</xdr:rowOff>
    </xdr:from>
    <xdr:to>
      <xdr:col>28</xdr:col>
      <xdr:colOff>748146</xdr:colOff>
      <xdr:row>5</xdr:row>
      <xdr:rowOff>83126</xdr:rowOff>
    </xdr:to>
    <xdr:graphicFrame macro="">
      <xdr:nvGraphicFramePr>
        <xdr:cNvPr id="27" name="Chart 26">
          <a:extLst>
            <a:ext uri="{FF2B5EF4-FFF2-40B4-BE49-F238E27FC236}">
              <a16:creationId xmlns:a16="http://schemas.microsoft.com/office/drawing/2014/main" id="{656DA065-1CC8-4746-8950-628D317D6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69272</xdr:colOff>
      <xdr:row>2</xdr:row>
      <xdr:rowOff>27709</xdr:rowOff>
    </xdr:from>
    <xdr:to>
      <xdr:col>28</xdr:col>
      <xdr:colOff>831272</xdr:colOff>
      <xdr:row>5</xdr:row>
      <xdr:rowOff>13856</xdr:rowOff>
    </xdr:to>
    <xdr:sp macro="" textlink="">
      <xdr:nvSpPr>
        <xdr:cNvPr id="25" name="Freeform: Shape 24">
          <a:extLst>
            <a:ext uri="{FF2B5EF4-FFF2-40B4-BE49-F238E27FC236}">
              <a16:creationId xmlns:a16="http://schemas.microsoft.com/office/drawing/2014/main" id="{F630DBF6-5BC8-DBA2-60F8-34ADE1ADDC20}"/>
            </a:ext>
          </a:extLst>
        </xdr:cNvPr>
        <xdr:cNvSpPr/>
      </xdr:nvSpPr>
      <xdr:spPr>
        <a:xfrm>
          <a:off x="16999527" y="415636"/>
          <a:ext cx="2479963" cy="568038"/>
        </a:xfrm>
        <a:custGeom>
          <a:avLst/>
          <a:gdLst>
            <a:gd name="connsiteX0" fmla="*/ 1732477 w 1923068"/>
            <a:gd name="connsiteY0" fmla="*/ 0 h 329154"/>
            <a:gd name="connsiteX1" fmla="*/ 1923068 w 1923068"/>
            <a:gd name="connsiteY1" fmla="*/ 0 h 329154"/>
            <a:gd name="connsiteX2" fmla="*/ 1923068 w 1923068"/>
            <a:gd name="connsiteY2" fmla="*/ 125725 h 329154"/>
            <a:gd name="connsiteX3" fmla="*/ 1777469 w 1923068"/>
            <a:gd name="connsiteY3" fmla="*/ 125726 h 329154"/>
            <a:gd name="connsiteX4" fmla="*/ 190591 w 1923068"/>
            <a:gd name="connsiteY4" fmla="*/ 0 h 329154"/>
            <a:gd name="connsiteX5" fmla="*/ 704553 w 1923068"/>
            <a:gd name="connsiteY5" fmla="*/ 0 h 329154"/>
            <a:gd name="connsiteX6" fmla="*/ 659561 w 1923068"/>
            <a:gd name="connsiteY6" fmla="*/ 125726 h 329154"/>
            <a:gd name="connsiteX7" fmla="*/ 513962 w 1923068"/>
            <a:gd name="connsiteY7" fmla="*/ 125725 h 329154"/>
            <a:gd name="connsiteX8" fmla="*/ 631755 w 1923068"/>
            <a:gd name="connsiteY8" fmla="*/ 203428 h 329154"/>
            <a:gd name="connsiteX9" fmla="*/ 586762 w 1923068"/>
            <a:gd name="connsiteY9" fmla="*/ 329153 h 329154"/>
            <a:gd name="connsiteX10" fmla="*/ 704553 w 1923068"/>
            <a:gd name="connsiteY10" fmla="*/ 251450 h 329154"/>
            <a:gd name="connsiteX11" fmla="*/ 822344 w 1923068"/>
            <a:gd name="connsiteY11" fmla="*/ 329153 h 329154"/>
            <a:gd name="connsiteX12" fmla="*/ 777351 w 1923068"/>
            <a:gd name="connsiteY12" fmla="*/ 203428 h 329154"/>
            <a:gd name="connsiteX13" fmla="*/ 895144 w 1923068"/>
            <a:gd name="connsiteY13" fmla="*/ 125725 h 329154"/>
            <a:gd name="connsiteX14" fmla="*/ 749545 w 1923068"/>
            <a:gd name="connsiteY14" fmla="*/ 125726 h 329154"/>
            <a:gd name="connsiteX15" fmla="*/ 704553 w 1923068"/>
            <a:gd name="connsiteY15" fmla="*/ 0 h 329154"/>
            <a:gd name="connsiteX16" fmla="*/ 1218515 w 1923068"/>
            <a:gd name="connsiteY16" fmla="*/ 0 h 329154"/>
            <a:gd name="connsiteX17" fmla="*/ 1173523 w 1923068"/>
            <a:gd name="connsiteY17" fmla="*/ 125726 h 329154"/>
            <a:gd name="connsiteX18" fmla="*/ 1027924 w 1923068"/>
            <a:gd name="connsiteY18" fmla="*/ 125725 h 329154"/>
            <a:gd name="connsiteX19" fmla="*/ 1145717 w 1923068"/>
            <a:gd name="connsiteY19" fmla="*/ 203428 h 329154"/>
            <a:gd name="connsiteX20" fmla="*/ 1100724 w 1923068"/>
            <a:gd name="connsiteY20" fmla="*/ 329153 h 329154"/>
            <a:gd name="connsiteX21" fmla="*/ 1218515 w 1923068"/>
            <a:gd name="connsiteY21" fmla="*/ 251450 h 329154"/>
            <a:gd name="connsiteX22" fmla="*/ 1336306 w 1923068"/>
            <a:gd name="connsiteY22" fmla="*/ 329153 h 329154"/>
            <a:gd name="connsiteX23" fmla="*/ 1291313 w 1923068"/>
            <a:gd name="connsiteY23" fmla="*/ 203428 h 329154"/>
            <a:gd name="connsiteX24" fmla="*/ 1409106 w 1923068"/>
            <a:gd name="connsiteY24" fmla="*/ 125725 h 329154"/>
            <a:gd name="connsiteX25" fmla="*/ 1263507 w 1923068"/>
            <a:gd name="connsiteY25" fmla="*/ 125726 h 329154"/>
            <a:gd name="connsiteX26" fmla="*/ 1218515 w 1923068"/>
            <a:gd name="connsiteY26" fmla="*/ 0 h 329154"/>
            <a:gd name="connsiteX27" fmla="*/ 1732477 w 1923068"/>
            <a:gd name="connsiteY27" fmla="*/ 0 h 329154"/>
            <a:gd name="connsiteX28" fmla="*/ 1687485 w 1923068"/>
            <a:gd name="connsiteY28" fmla="*/ 125726 h 329154"/>
            <a:gd name="connsiteX29" fmla="*/ 1541886 w 1923068"/>
            <a:gd name="connsiteY29" fmla="*/ 125725 h 329154"/>
            <a:gd name="connsiteX30" fmla="*/ 1659679 w 1923068"/>
            <a:gd name="connsiteY30" fmla="*/ 203428 h 329154"/>
            <a:gd name="connsiteX31" fmla="*/ 1614686 w 1923068"/>
            <a:gd name="connsiteY31" fmla="*/ 329153 h 329154"/>
            <a:gd name="connsiteX32" fmla="*/ 1732477 w 1923068"/>
            <a:gd name="connsiteY32" fmla="*/ 251450 h 329154"/>
            <a:gd name="connsiteX33" fmla="*/ 1850268 w 1923068"/>
            <a:gd name="connsiteY33" fmla="*/ 329153 h 329154"/>
            <a:gd name="connsiteX34" fmla="*/ 1805275 w 1923068"/>
            <a:gd name="connsiteY34" fmla="*/ 203428 h 329154"/>
            <a:gd name="connsiteX35" fmla="*/ 1923068 w 1923068"/>
            <a:gd name="connsiteY35" fmla="*/ 125725 h 329154"/>
            <a:gd name="connsiteX36" fmla="*/ 1923068 w 1923068"/>
            <a:gd name="connsiteY36" fmla="*/ 329154 h 329154"/>
            <a:gd name="connsiteX37" fmla="*/ 0 w 1923068"/>
            <a:gd name="connsiteY37" fmla="*/ 329154 h 329154"/>
            <a:gd name="connsiteX38" fmla="*/ 0 w 1923068"/>
            <a:gd name="connsiteY38" fmla="*/ 125725 h 329154"/>
            <a:gd name="connsiteX39" fmla="*/ 117793 w 1923068"/>
            <a:gd name="connsiteY39" fmla="*/ 203428 h 329154"/>
            <a:gd name="connsiteX40" fmla="*/ 72800 w 1923068"/>
            <a:gd name="connsiteY40" fmla="*/ 329153 h 329154"/>
            <a:gd name="connsiteX41" fmla="*/ 190591 w 1923068"/>
            <a:gd name="connsiteY41" fmla="*/ 251450 h 329154"/>
            <a:gd name="connsiteX42" fmla="*/ 308382 w 1923068"/>
            <a:gd name="connsiteY42" fmla="*/ 329153 h 329154"/>
            <a:gd name="connsiteX43" fmla="*/ 263389 w 1923068"/>
            <a:gd name="connsiteY43" fmla="*/ 203428 h 329154"/>
            <a:gd name="connsiteX44" fmla="*/ 381182 w 1923068"/>
            <a:gd name="connsiteY44" fmla="*/ 125725 h 329154"/>
            <a:gd name="connsiteX45" fmla="*/ 235583 w 1923068"/>
            <a:gd name="connsiteY45" fmla="*/ 125726 h 329154"/>
            <a:gd name="connsiteX46" fmla="*/ 0 w 1923068"/>
            <a:gd name="connsiteY46" fmla="*/ 0 h 329154"/>
            <a:gd name="connsiteX47" fmla="*/ 190591 w 1923068"/>
            <a:gd name="connsiteY47" fmla="*/ 0 h 329154"/>
            <a:gd name="connsiteX48" fmla="*/ 145599 w 1923068"/>
            <a:gd name="connsiteY48" fmla="*/ 125726 h 329154"/>
            <a:gd name="connsiteX49" fmla="*/ 0 w 1923068"/>
            <a:gd name="connsiteY49" fmla="*/ 125725 h 3291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923068" h="329154">
              <a:moveTo>
                <a:pt x="1732477" y="0"/>
              </a:moveTo>
              <a:lnTo>
                <a:pt x="1923068" y="0"/>
              </a:lnTo>
              <a:lnTo>
                <a:pt x="1923068" y="125725"/>
              </a:lnTo>
              <a:lnTo>
                <a:pt x="1777469" y="125726"/>
              </a:lnTo>
              <a:close/>
              <a:moveTo>
                <a:pt x="190591" y="0"/>
              </a:moveTo>
              <a:lnTo>
                <a:pt x="704553" y="0"/>
              </a:lnTo>
              <a:lnTo>
                <a:pt x="659561" y="125726"/>
              </a:lnTo>
              <a:lnTo>
                <a:pt x="513962" y="125725"/>
              </a:lnTo>
              <a:lnTo>
                <a:pt x="631755" y="203428"/>
              </a:lnTo>
              <a:lnTo>
                <a:pt x="586762" y="329153"/>
              </a:lnTo>
              <a:lnTo>
                <a:pt x="704553" y="251450"/>
              </a:lnTo>
              <a:lnTo>
                <a:pt x="822344" y="329153"/>
              </a:lnTo>
              <a:lnTo>
                <a:pt x="777351" y="203428"/>
              </a:lnTo>
              <a:lnTo>
                <a:pt x="895144" y="125725"/>
              </a:lnTo>
              <a:lnTo>
                <a:pt x="749545" y="125726"/>
              </a:lnTo>
              <a:lnTo>
                <a:pt x="704553" y="0"/>
              </a:lnTo>
              <a:lnTo>
                <a:pt x="1218515" y="0"/>
              </a:lnTo>
              <a:lnTo>
                <a:pt x="1173523" y="125726"/>
              </a:lnTo>
              <a:lnTo>
                <a:pt x="1027924" y="125725"/>
              </a:lnTo>
              <a:lnTo>
                <a:pt x="1145717" y="203428"/>
              </a:lnTo>
              <a:lnTo>
                <a:pt x="1100724" y="329153"/>
              </a:lnTo>
              <a:lnTo>
                <a:pt x="1218515" y="251450"/>
              </a:lnTo>
              <a:lnTo>
                <a:pt x="1336306" y="329153"/>
              </a:lnTo>
              <a:lnTo>
                <a:pt x="1291313" y="203428"/>
              </a:lnTo>
              <a:lnTo>
                <a:pt x="1409106" y="125725"/>
              </a:lnTo>
              <a:lnTo>
                <a:pt x="1263507" y="125726"/>
              </a:lnTo>
              <a:lnTo>
                <a:pt x="1218515" y="0"/>
              </a:lnTo>
              <a:lnTo>
                <a:pt x="1732477" y="0"/>
              </a:lnTo>
              <a:lnTo>
                <a:pt x="1687485" y="125726"/>
              </a:lnTo>
              <a:lnTo>
                <a:pt x="1541886" y="125725"/>
              </a:lnTo>
              <a:lnTo>
                <a:pt x="1659679" y="203428"/>
              </a:lnTo>
              <a:lnTo>
                <a:pt x="1614686" y="329153"/>
              </a:lnTo>
              <a:lnTo>
                <a:pt x="1732477" y="251450"/>
              </a:lnTo>
              <a:lnTo>
                <a:pt x="1850268" y="329153"/>
              </a:lnTo>
              <a:lnTo>
                <a:pt x="1805275" y="203428"/>
              </a:lnTo>
              <a:lnTo>
                <a:pt x="1923068" y="125725"/>
              </a:lnTo>
              <a:lnTo>
                <a:pt x="1923068" y="329154"/>
              </a:lnTo>
              <a:lnTo>
                <a:pt x="0" y="329154"/>
              </a:lnTo>
              <a:lnTo>
                <a:pt x="0" y="125725"/>
              </a:lnTo>
              <a:lnTo>
                <a:pt x="117793" y="203428"/>
              </a:lnTo>
              <a:lnTo>
                <a:pt x="72800" y="329153"/>
              </a:lnTo>
              <a:lnTo>
                <a:pt x="190591" y="251450"/>
              </a:lnTo>
              <a:lnTo>
                <a:pt x="308382" y="329153"/>
              </a:lnTo>
              <a:lnTo>
                <a:pt x="263389" y="203428"/>
              </a:lnTo>
              <a:lnTo>
                <a:pt x="381182" y="125725"/>
              </a:lnTo>
              <a:lnTo>
                <a:pt x="235583" y="125726"/>
              </a:lnTo>
              <a:close/>
              <a:moveTo>
                <a:pt x="0" y="0"/>
              </a:moveTo>
              <a:lnTo>
                <a:pt x="190591" y="0"/>
              </a:lnTo>
              <a:lnTo>
                <a:pt x="145599" y="125726"/>
              </a:lnTo>
              <a:lnTo>
                <a:pt x="0" y="125725"/>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55419</xdr:colOff>
      <xdr:row>18</xdr:row>
      <xdr:rowOff>166255</xdr:rowOff>
    </xdr:from>
    <xdr:to>
      <xdr:col>5</xdr:col>
      <xdr:colOff>401782</xdr:colOff>
      <xdr:row>29</xdr:row>
      <xdr:rowOff>83128</xdr:rowOff>
    </xdr:to>
    <xdr:graphicFrame macro="">
      <xdr:nvGraphicFramePr>
        <xdr:cNvPr id="55" name="Chart 54">
          <a:extLst>
            <a:ext uri="{FF2B5EF4-FFF2-40B4-BE49-F238E27FC236}">
              <a16:creationId xmlns:a16="http://schemas.microsoft.com/office/drawing/2014/main" id="{C5064A79-7892-4E69-826F-38A286121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595746</xdr:colOff>
      <xdr:row>20</xdr:row>
      <xdr:rowOff>110837</xdr:rowOff>
    </xdr:from>
    <xdr:to>
      <xdr:col>10</xdr:col>
      <xdr:colOff>526473</xdr:colOff>
      <xdr:row>29</xdr:row>
      <xdr:rowOff>110837</xdr:rowOff>
    </xdr:to>
    <xdr:graphicFrame macro="">
      <xdr:nvGraphicFramePr>
        <xdr:cNvPr id="56" name="Chart 55">
          <a:extLst>
            <a:ext uri="{FF2B5EF4-FFF2-40B4-BE49-F238E27FC236}">
              <a16:creationId xmlns:a16="http://schemas.microsoft.com/office/drawing/2014/main" id="{8F7DF85E-6B5E-49A7-935C-B0F0C7C88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1</xdr:colOff>
      <xdr:row>23</xdr:row>
      <xdr:rowOff>55418</xdr:rowOff>
    </xdr:from>
    <xdr:to>
      <xdr:col>8</xdr:col>
      <xdr:colOff>128842</xdr:colOff>
      <xdr:row>28</xdr:row>
      <xdr:rowOff>55418</xdr:rowOff>
    </xdr:to>
    <xdr:pic>
      <xdr:nvPicPr>
        <xdr:cNvPr id="57" name="Picture 56" descr="Male user Icons &amp; Symbols">
          <a:extLst>
            <a:ext uri="{FF2B5EF4-FFF2-40B4-BE49-F238E27FC236}">
              <a16:creationId xmlns:a16="http://schemas.microsoft.com/office/drawing/2014/main" id="{23496DDB-9F59-365F-87F4-5270B37A0FD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558146" y="4516582"/>
          <a:ext cx="780005" cy="969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258041</xdr:colOff>
      <xdr:row>22</xdr:row>
      <xdr:rowOff>110836</xdr:rowOff>
    </xdr:from>
    <xdr:to>
      <xdr:col>7</xdr:col>
      <xdr:colOff>98803</xdr:colOff>
      <xdr:row>28</xdr:row>
      <xdr:rowOff>166253</xdr:rowOff>
    </xdr:to>
    <xdr:pic>
      <xdr:nvPicPr>
        <xdr:cNvPr id="58" name="Picture 57">
          <a:extLst>
            <a:ext uri="{FF2B5EF4-FFF2-40B4-BE49-F238E27FC236}">
              <a16:creationId xmlns:a16="http://schemas.microsoft.com/office/drawing/2014/main" id="{53745343-5EFC-F1D8-92BE-8F4F1834A9B4}"/>
            </a:ext>
          </a:extLst>
        </xdr:cNvPr>
        <xdr:cNvPicPr>
          <a:picLocks noChangeAspect="1"/>
        </xdr:cNvPicPr>
      </xdr:nvPicPr>
      <xdr:blipFill>
        <a:blip xmlns:r="http://schemas.openxmlformats.org/officeDocument/2006/relationships" r:embed="rId13"/>
        <a:stretch>
          <a:fillRect/>
        </a:stretch>
      </xdr:blipFill>
      <xdr:spPr>
        <a:xfrm>
          <a:off x="3513859" y="4378036"/>
          <a:ext cx="1143089" cy="1219199"/>
        </a:xfrm>
        <a:prstGeom prst="rect">
          <a:avLst/>
        </a:prstGeom>
      </xdr:spPr>
    </xdr:pic>
    <xdr:clientData/>
  </xdr:twoCellAnchor>
  <xdr:twoCellAnchor>
    <xdr:from>
      <xdr:col>3</xdr:col>
      <xdr:colOff>498764</xdr:colOff>
      <xdr:row>24</xdr:row>
      <xdr:rowOff>41565</xdr:rowOff>
    </xdr:from>
    <xdr:to>
      <xdr:col>4</xdr:col>
      <xdr:colOff>526472</xdr:colOff>
      <xdr:row>27</xdr:row>
      <xdr:rowOff>27709</xdr:rowOff>
    </xdr:to>
    <xdr:sp macro="" textlink="Gender!$B$9">
      <xdr:nvSpPr>
        <xdr:cNvPr id="59" name="TextBox 58">
          <a:extLst>
            <a:ext uri="{FF2B5EF4-FFF2-40B4-BE49-F238E27FC236}">
              <a16:creationId xmlns:a16="http://schemas.microsoft.com/office/drawing/2014/main" id="{3C568282-7D02-468E-AAF5-4A9E697220CB}"/>
            </a:ext>
          </a:extLst>
        </xdr:cNvPr>
        <xdr:cNvSpPr txBox="1"/>
      </xdr:nvSpPr>
      <xdr:spPr>
        <a:xfrm>
          <a:off x="2452255" y="4696692"/>
          <a:ext cx="678872" cy="568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0D0C7A-9B7D-495C-95C7-9DC5FC1944AB}" type="TxLink">
            <a:rPr lang="en-US" sz="2400" b="1" i="0" u="none" strike="noStrike">
              <a:solidFill>
                <a:srgbClr val="000000"/>
              </a:solidFill>
              <a:latin typeface="Calibri"/>
              <a:ea typeface="Calibri"/>
              <a:cs typeface="Calibri"/>
            </a:rPr>
            <a:pPr/>
            <a:t>588</a:t>
          </a:fld>
          <a:endParaRPr lang="en-IN" sz="2400" b="1"/>
        </a:p>
      </xdr:txBody>
    </xdr:sp>
    <xdr:clientData/>
  </xdr:twoCellAnchor>
  <xdr:twoCellAnchor>
    <xdr:from>
      <xdr:col>8</xdr:col>
      <xdr:colOff>457200</xdr:colOff>
      <xdr:row>24</xdr:row>
      <xdr:rowOff>13855</xdr:rowOff>
    </xdr:from>
    <xdr:to>
      <xdr:col>10</xdr:col>
      <xdr:colOff>110837</xdr:colOff>
      <xdr:row>26</xdr:row>
      <xdr:rowOff>193962</xdr:rowOff>
    </xdr:to>
    <xdr:sp macro="" textlink="Gender!$B$10">
      <xdr:nvSpPr>
        <xdr:cNvPr id="60" name="TextBox 59">
          <a:extLst>
            <a:ext uri="{FF2B5EF4-FFF2-40B4-BE49-F238E27FC236}">
              <a16:creationId xmlns:a16="http://schemas.microsoft.com/office/drawing/2014/main" id="{F37387CA-E23F-4343-B497-E7E30FE037A2}"/>
            </a:ext>
          </a:extLst>
        </xdr:cNvPr>
        <xdr:cNvSpPr txBox="1"/>
      </xdr:nvSpPr>
      <xdr:spPr>
        <a:xfrm>
          <a:off x="5666509" y="4668982"/>
          <a:ext cx="955964" cy="568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23AB74-BDEE-47B9-949D-B8B114A476AC}" type="TxLink">
            <a:rPr lang="en-US" sz="2400" b="1" i="0" u="none" strike="noStrike">
              <a:solidFill>
                <a:srgbClr val="000000"/>
              </a:solidFill>
              <a:latin typeface="Calibri"/>
              <a:ea typeface="Calibri"/>
              <a:cs typeface="Calibri"/>
            </a:rPr>
            <a:pPr algn="ctr"/>
            <a:t>882</a:t>
          </a:fld>
          <a:endParaRPr lang="en-IN" sz="2400" b="1"/>
        </a:p>
      </xdr:txBody>
    </xdr:sp>
    <xdr:clientData/>
  </xdr:twoCellAnchor>
  <xdr:twoCellAnchor>
    <xdr:from>
      <xdr:col>3</xdr:col>
      <xdr:colOff>193964</xdr:colOff>
      <xdr:row>13</xdr:row>
      <xdr:rowOff>124691</xdr:rowOff>
    </xdr:from>
    <xdr:to>
      <xdr:col>10</xdr:col>
      <xdr:colOff>332509</xdr:colOff>
      <xdr:row>15</xdr:row>
      <xdr:rowOff>96981</xdr:rowOff>
    </xdr:to>
    <xdr:sp macro="" textlink="">
      <xdr:nvSpPr>
        <xdr:cNvPr id="63" name="TextBox 62">
          <a:extLst>
            <a:ext uri="{FF2B5EF4-FFF2-40B4-BE49-F238E27FC236}">
              <a16:creationId xmlns:a16="http://schemas.microsoft.com/office/drawing/2014/main" id="{19BFBEF2-D31B-BACA-260B-8EA36EA5D5F5}"/>
            </a:ext>
          </a:extLst>
        </xdr:cNvPr>
        <xdr:cNvSpPr txBox="1"/>
      </xdr:nvSpPr>
      <xdr:spPr>
        <a:xfrm>
          <a:off x="2147455" y="2646218"/>
          <a:ext cx="4696690"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Total Employees by Gender</a:t>
          </a:r>
        </a:p>
      </xdr:txBody>
    </xdr:sp>
    <xdr:clientData/>
  </xdr:twoCellAnchor>
  <xdr:twoCellAnchor editAs="oneCell">
    <xdr:from>
      <xdr:col>4</xdr:col>
      <xdr:colOff>526472</xdr:colOff>
      <xdr:row>16</xdr:row>
      <xdr:rowOff>69272</xdr:rowOff>
    </xdr:from>
    <xdr:to>
      <xdr:col>8</xdr:col>
      <xdr:colOff>360218</xdr:colOff>
      <xdr:row>21</xdr:row>
      <xdr:rowOff>110838</xdr:rowOff>
    </xdr:to>
    <mc:AlternateContent xmlns:mc="http://schemas.openxmlformats.org/markup-compatibility/2006" xmlns:a14="http://schemas.microsoft.com/office/drawing/2010/main">
      <mc:Choice Requires="a14">
        <xdr:graphicFrame macro="">
          <xdr:nvGraphicFramePr>
            <xdr:cNvPr id="64" name="Gender 2">
              <a:extLst>
                <a:ext uri="{FF2B5EF4-FFF2-40B4-BE49-F238E27FC236}">
                  <a16:creationId xmlns:a16="http://schemas.microsoft.com/office/drawing/2014/main" id="{FF8C7571-DAA4-42A1-9BCE-242AFECDB21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131127" y="3172689"/>
              <a:ext cx="2438400" cy="1094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401782</xdr:colOff>
      <xdr:row>15</xdr:row>
      <xdr:rowOff>110834</xdr:rowOff>
    </xdr:from>
    <xdr:to>
      <xdr:col>20</xdr:col>
      <xdr:colOff>429491</xdr:colOff>
      <xdr:row>29</xdr:row>
      <xdr:rowOff>138544</xdr:rowOff>
    </xdr:to>
    <xdr:graphicFrame macro="">
      <xdr:nvGraphicFramePr>
        <xdr:cNvPr id="65" name="Chart 64">
          <a:extLst>
            <a:ext uri="{FF2B5EF4-FFF2-40B4-BE49-F238E27FC236}">
              <a16:creationId xmlns:a16="http://schemas.microsoft.com/office/drawing/2014/main" id="{14722A87-8DC2-46A6-BC2F-951A7CA3B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332509</xdr:colOff>
      <xdr:row>13</xdr:row>
      <xdr:rowOff>166255</xdr:rowOff>
    </xdr:from>
    <xdr:to>
      <xdr:col>20</xdr:col>
      <xdr:colOff>304800</xdr:colOff>
      <xdr:row>15</xdr:row>
      <xdr:rowOff>96981</xdr:rowOff>
    </xdr:to>
    <xdr:sp macro="" textlink="">
      <xdr:nvSpPr>
        <xdr:cNvPr id="66" name="TextBox 65">
          <a:extLst>
            <a:ext uri="{FF2B5EF4-FFF2-40B4-BE49-F238E27FC236}">
              <a16:creationId xmlns:a16="http://schemas.microsoft.com/office/drawing/2014/main" id="{4B6EE881-73C3-26BF-3F4A-3A7F546A9222}"/>
            </a:ext>
          </a:extLst>
        </xdr:cNvPr>
        <xdr:cNvSpPr txBox="1"/>
      </xdr:nvSpPr>
      <xdr:spPr>
        <a:xfrm>
          <a:off x="7495309" y="2687782"/>
          <a:ext cx="5832764"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rgbClr val="602928"/>
              </a:solidFill>
            </a:rPr>
            <a:t>Education wise Attrition</a:t>
          </a:r>
        </a:p>
      </xdr:txBody>
    </xdr:sp>
    <xdr:clientData/>
  </xdr:twoCellAnchor>
  <xdr:twoCellAnchor>
    <xdr:from>
      <xdr:col>21</xdr:col>
      <xdr:colOff>332510</xdr:colOff>
      <xdr:row>15</xdr:row>
      <xdr:rowOff>180107</xdr:rowOff>
    </xdr:from>
    <xdr:to>
      <xdr:col>28</xdr:col>
      <xdr:colOff>817418</xdr:colOff>
      <xdr:row>30</xdr:row>
      <xdr:rowOff>13853</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B643F516-B37B-46A2-84B0-25E8F22D60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3934210" y="3037607"/>
              <a:ext cx="5430288" cy="26912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457200</xdr:colOff>
      <xdr:row>14</xdr:row>
      <xdr:rowOff>0</xdr:rowOff>
    </xdr:from>
    <xdr:to>
      <xdr:col>28</xdr:col>
      <xdr:colOff>692727</xdr:colOff>
      <xdr:row>15</xdr:row>
      <xdr:rowOff>110836</xdr:rowOff>
    </xdr:to>
    <xdr:sp macro="" textlink="">
      <xdr:nvSpPr>
        <xdr:cNvPr id="68" name="TextBox 67">
          <a:extLst>
            <a:ext uri="{FF2B5EF4-FFF2-40B4-BE49-F238E27FC236}">
              <a16:creationId xmlns:a16="http://schemas.microsoft.com/office/drawing/2014/main" id="{D75C93AF-E1A8-A6BA-70EA-8386101C07C4}"/>
            </a:ext>
          </a:extLst>
        </xdr:cNvPr>
        <xdr:cNvSpPr txBox="1"/>
      </xdr:nvSpPr>
      <xdr:spPr>
        <a:xfrm>
          <a:off x="14131636" y="2715491"/>
          <a:ext cx="520930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Attrition by Job Role</a:t>
          </a:r>
        </a:p>
      </xdr:txBody>
    </xdr:sp>
    <xdr:clientData/>
  </xdr:twoCellAnchor>
  <xdr:twoCellAnchor>
    <xdr:from>
      <xdr:col>3</xdr:col>
      <xdr:colOff>341169</xdr:colOff>
      <xdr:row>33</xdr:row>
      <xdr:rowOff>138545</xdr:rowOff>
    </xdr:from>
    <xdr:to>
      <xdr:col>10</xdr:col>
      <xdr:colOff>55419</xdr:colOff>
      <xdr:row>46</xdr:row>
      <xdr:rowOff>83126</xdr:rowOff>
    </xdr:to>
    <xdr:graphicFrame macro="">
      <xdr:nvGraphicFramePr>
        <xdr:cNvPr id="69" name="Chart 68">
          <a:extLst>
            <a:ext uri="{FF2B5EF4-FFF2-40B4-BE49-F238E27FC236}">
              <a16:creationId xmlns:a16="http://schemas.microsoft.com/office/drawing/2014/main" id="{F4ACE64D-1F12-4A97-89DF-93403CBD3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235527</xdr:colOff>
      <xdr:row>31</xdr:row>
      <xdr:rowOff>0</xdr:rowOff>
    </xdr:from>
    <xdr:to>
      <xdr:col>10</xdr:col>
      <xdr:colOff>249382</xdr:colOff>
      <xdr:row>32</xdr:row>
      <xdr:rowOff>96982</xdr:rowOff>
    </xdr:to>
    <xdr:sp macro="" textlink="">
      <xdr:nvSpPr>
        <xdr:cNvPr id="70" name="TextBox 69">
          <a:extLst>
            <a:ext uri="{FF2B5EF4-FFF2-40B4-BE49-F238E27FC236}">
              <a16:creationId xmlns:a16="http://schemas.microsoft.com/office/drawing/2014/main" id="{62CF5616-285F-FD6E-D223-B903A0C3CA0B}"/>
            </a:ext>
          </a:extLst>
        </xdr:cNvPr>
        <xdr:cNvSpPr txBox="1"/>
      </xdr:nvSpPr>
      <xdr:spPr>
        <a:xfrm>
          <a:off x="2189018" y="6012873"/>
          <a:ext cx="4572000" cy="29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Department</a:t>
          </a:r>
          <a:r>
            <a:rPr lang="en-IN" sz="1800" b="1" baseline="0">
              <a:solidFill>
                <a:srgbClr val="602928"/>
              </a:solidFill>
            </a:rPr>
            <a:t> Wise Attrition</a:t>
          </a:r>
          <a:endParaRPr lang="en-IN" sz="1800" b="1">
            <a:solidFill>
              <a:srgbClr val="602928"/>
            </a:solidFill>
          </a:endParaRPr>
        </a:p>
      </xdr:txBody>
    </xdr:sp>
    <xdr:clientData/>
  </xdr:twoCellAnchor>
  <xdr:twoCellAnchor>
    <xdr:from>
      <xdr:col>11</xdr:col>
      <xdr:colOff>161059</xdr:colOff>
      <xdr:row>33</xdr:row>
      <xdr:rowOff>13853</xdr:rowOff>
    </xdr:from>
    <xdr:to>
      <xdr:col>18</xdr:col>
      <xdr:colOff>138546</xdr:colOff>
      <xdr:row>47</xdr:row>
      <xdr:rowOff>41564</xdr:rowOff>
    </xdr:to>
    <xdr:graphicFrame macro="">
      <xdr:nvGraphicFramePr>
        <xdr:cNvPr id="71" name="Chart 70">
          <a:extLst>
            <a:ext uri="{FF2B5EF4-FFF2-40B4-BE49-F238E27FC236}">
              <a16:creationId xmlns:a16="http://schemas.microsoft.com/office/drawing/2014/main" id="{E6CCCE10-EBEF-4CEA-8BCB-2C29D9EED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346364</xdr:colOff>
      <xdr:row>30</xdr:row>
      <xdr:rowOff>110836</xdr:rowOff>
    </xdr:from>
    <xdr:to>
      <xdr:col>17</xdr:col>
      <xdr:colOff>498763</xdr:colOff>
      <xdr:row>32</xdr:row>
      <xdr:rowOff>69273</xdr:rowOff>
    </xdr:to>
    <xdr:sp macro="" textlink="">
      <xdr:nvSpPr>
        <xdr:cNvPr id="72" name="TextBox 71">
          <a:extLst>
            <a:ext uri="{FF2B5EF4-FFF2-40B4-BE49-F238E27FC236}">
              <a16:creationId xmlns:a16="http://schemas.microsoft.com/office/drawing/2014/main" id="{021EE852-334F-5FF9-9747-DB6BAE8105B4}"/>
            </a:ext>
          </a:extLst>
        </xdr:cNvPr>
        <xdr:cNvSpPr txBox="1"/>
      </xdr:nvSpPr>
      <xdr:spPr>
        <a:xfrm>
          <a:off x="7509164" y="5929745"/>
          <a:ext cx="4059381"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rgbClr val="602928"/>
              </a:solidFill>
            </a:rPr>
            <a:t>Attrition by Age Group</a:t>
          </a:r>
          <a:endParaRPr lang="en-IN" sz="2000" b="1">
            <a:solidFill>
              <a:srgbClr val="602928"/>
            </a:solidFill>
          </a:endParaRPr>
        </a:p>
      </xdr:txBody>
    </xdr:sp>
    <xdr:clientData/>
  </xdr:twoCellAnchor>
  <xdr:twoCellAnchor>
    <xdr:from>
      <xdr:col>18</xdr:col>
      <xdr:colOff>484910</xdr:colOff>
      <xdr:row>33</xdr:row>
      <xdr:rowOff>96982</xdr:rowOff>
    </xdr:from>
    <xdr:to>
      <xdr:col>24</xdr:col>
      <xdr:colOff>290946</xdr:colOff>
      <xdr:row>46</xdr:row>
      <xdr:rowOff>180108</xdr:rowOff>
    </xdr:to>
    <xdr:graphicFrame macro="">
      <xdr:nvGraphicFramePr>
        <xdr:cNvPr id="26" name="Chart 25">
          <a:extLst>
            <a:ext uri="{FF2B5EF4-FFF2-40B4-BE49-F238E27FC236}">
              <a16:creationId xmlns:a16="http://schemas.microsoft.com/office/drawing/2014/main" id="{F21A6169-1BCD-4223-8086-CE23A0FB3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152400</xdr:colOff>
      <xdr:row>31</xdr:row>
      <xdr:rowOff>0</xdr:rowOff>
    </xdr:from>
    <xdr:to>
      <xdr:col>24</xdr:col>
      <xdr:colOff>110837</xdr:colOff>
      <xdr:row>32</xdr:row>
      <xdr:rowOff>124691</xdr:rowOff>
    </xdr:to>
    <xdr:sp macro="" textlink="">
      <xdr:nvSpPr>
        <xdr:cNvPr id="28" name="TextBox 27">
          <a:extLst>
            <a:ext uri="{FF2B5EF4-FFF2-40B4-BE49-F238E27FC236}">
              <a16:creationId xmlns:a16="http://schemas.microsoft.com/office/drawing/2014/main" id="{3B81AEB6-67E2-76BD-7276-3267CF22FB5C}"/>
            </a:ext>
          </a:extLst>
        </xdr:cNvPr>
        <xdr:cNvSpPr txBox="1"/>
      </xdr:nvSpPr>
      <xdr:spPr>
        <a:xfrm>
          <a:off x="12524509" y="6012873"/>
          <a:ext cx="3214255"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Attrition by Marital status</a:t>
          </a:r>
        </a:p>
      </xdr:txBody>
    </xdr:sp>
    <xdr:clientData/>
  </xdr:twoCellAnchor>
  <xdr:twoCellAnchor editAs="oneCell">
    <xdr:from>
      <xdr:col>27</xdr:col>
      <xdr:colOff>277091</xdr:colOff>
      <xdr:row>33</xdr:row>
      <xdr:rowOff>55416</xdr:rowOff>
    </xdr:from>
    <xdr:to>
      <xdr:col>29</xdr:col>
      <xdr:colOff>13855</xdr:colOff>
      <xdr:row>39</xdr:row>
      <xdr:rowOff>152400</xdr:rowOff>
    </xdr:to>
    <mc:AlternateContent xmlns:mc="http://schemas.openxmlformats.org/markup-compatibility/2006" xmlns:a14="http://schemas.microsoft.com/office/drawing/2010/main">
      <mc:Choice Requires="a14">
        <xdr:graphicFrame macro="">
          <xdr:nvGraphicFramePr>
            <xdr:cNvPr id="54" name="Department 1">
              <a:extLst>
                <a:ext uri="{FF2B5EF4-FFF2-40B4-BE49-F238E27FC236}">
                  <a16:creationId xmlns:a16="http://schemas.microsoft.com/office/drawing/2014/main" id="{F21E4B1D-426D-406E-B88B-C6D5A5F3289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066327" y="6456216"/>
              <a:ext cx="1454728" cy="1260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540328</xdr:colOff>
      <xdr:row>33</xdr:row>
      <xdr:rowOff>110835</xdr:rowOff>
    </xdr:from>
    <xdr:to>
      <xdr:col>27</xdr:col>
      <xdr:colOff>235527</xdr:colOff>
      <xdr:row>47</xdr:row>
      <xdr:rowOff>-1</xdr:rowOff>
    </xdr:to>
    <mc:AlternateContent xmlns:mc="http://schemas.openxmlformats.org/markup-compatibility/2006" xmlns:a14="http://schemas.microsoft.com/office/drawing/2010/main">
      <mc:Choice Requires="a14">
        <xdr:graphicFrame macro="">
          <xdr:nvGraphicFramePr>
            <xdr:cNvPr id="61" name="Education Field 3">
              <a:extLst>
                <a:ext uri="{FF2B5EF4-FFF2-40B4-BE49-F238E27FC236}">
                  <a16:creationId xmlns:a16="http://schemas.microsoft.com/office/drawing/2014/main" id="{27FEA211-7563-4F41-A925-07A1E8DA43E3}"/>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6168255" y="6511635"/>
              <a:ext cx="1856508" cy="2604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41564</xdr:colOff>
      <xdr:row>31</xdr:row>
      <xdr:rowOff>96982</xdr:rowOff>
    </xdr:from>
    <xdr:to>
      <xdr:col>26</xdr:col>
      <xdr:colOff>817418</xdr:colOff>
      <xdr:row>32</xdr:row>
      <xdr:rowOff>110837</xdr:rowOff>
    </xdr:to>
    <xdr:sp macro="" textlink="">
      <xdr:nvSpPr>
        <xdr:cNvPr id="62" name="TextBox 61">
          <a:extLst>
            <a:ext uri="{FF2B5EF4-FFF2-40B4-BE49-F238E27FC236}">
              <a16:creationId xmlns:a16="http://schemas.microsoft.com/office/drawing/2014/main" id="{2872CDF3-5467-44CB-B177-4458BD72A861}"/>
            </a:ext>
          </a:extLst>
        </xdr:cNvPr>
        <xdr:cNvSpPr txBox="1"/>
      </xdr:nvSpPr>
      <xdr:spPr>
        <a:xfrm>
          <a:off x="16320655" y="6109855"/>
          <a:ext cx="1427018"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rPr>
            <a:t>Education</a:t>
          </a:r>
          <a:r>
            <a:rPr lang="en-IN" sz="1400" b="1" baseline="0">
              <a:solidFill>
                <a:srgbClr val="602928"/>
              </a:solidFill>
            </a:rPr>
            <a:t> Field</a:t>
          </a:r>
          <a:endParaRPr lang="en-IN" sz="1400" b="1">
            <a:solidFill>
              <a:srgbClr val="602928"/>
            </a:solidFill>
          </a:endParaRPr>
        </a:p>
      </xdr:txBody>
    </xdr:sp>
    <xdr:clientData/>
  </xdr:twoCellAnchor>
  <xdr:twoCellAnchor>
    <xdr:from>
      <xdr:col>27</xdr:col>
      <xdr:colOff>374073</xdr:colOff>
      <xdr:row>31</xdr:row>
      <xdr:rowOff>55418</xdr:rowOff>
    </xdr:from>
    <xdr:to>
      <xdr:col>28</xdr:col>
      <xdr:colOff>845127</xdr:colOff>
      <xdr:row>32</xdr:row>
      <xdr:rowOff>138546</xdr:rowOff>
    </xdr:to>
    <xdr:sp macro="" textlink="">
      <xdr:nvSpPr>
        <xdr:cNvPr id="74" name="TextBox 73">
          <a:extLst>
            <a:ext uri="{FF2B5EF4-FFF2-40B4-BE49-F238E27FC236}">
              <a16:creationId xmlns:a16="http://schemas.microsoft.com/office/drawing/2014/main" id="{DE1CC6D8-1029-D242-A40F-A3186D464239}"/>
            </a:ext>
          </a:extLst>
        </xdr:cNvPr>
        <xdr:cNvSpPr txBox="1"/>
      </xdr:nvSpPr>
      <xdr:spPr>
        <a:xfrm>
          <a:off x="18163309" y="6068291"/>
          <a:ext cx="1330036"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qi Aman" refreshedDate="46061.580851851853" createdVersion="8" refreshedVersion="8" minRefreshableVersion="3" recordCount="1470" xr:uid="{EA88CD83-C12B-4AEA-924E-D1239761B8B6}">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93285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F28D91-A479-41B1-92F6-F8F039B10D1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208B8-6B55-45C9-B71D-CBAA9BFBB6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5BBA5A-8214-447C-8DDE-C4EF06F7B86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8CCB0A-4477-4EB3-BD17-E5CE783FCF0C}"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9E5AEC-665B-48D8-BC31-A3607ADC22C1}"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0485DC-5540-4B76-83D3-3520192B8E08}" name="Attrition wise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907023-D331-48EE-9C10-E49D02B20C88}"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0"/>
          </reference>
        </references>
      </pivotArea>
    </chartFormat>
    <chartFormat chart="1" format="5">
      <pivotArea type="data" outline="0" fieldPosition="0">
        <references count="2">
          <reference field="4294967294" count="1" selected="0">
            <x v="0"/>
          </reference>
          <reference field="4" count="1" selected="0">
            <x v="1"/>
          </reference>
        </references>
      </pivotArea>
    </chartFormat>
    <chartFormat chart="1" format="6">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1CC926-3DB9-4850-95EE-1BC153477C4F}"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01994C-4D63-448F-8DD1-E2421FF28720}"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72B55BB-E1F0-4133-BF7D-F5D3D225261B}" sourceName="Gender">
  <pivotTables>
    <pivotTable tabId="9" name="gender"/>
    <pivotTable tabId="13" name="Attrition by Age group"/>
    <pivotTable tabId="11" name="Attrition wise Job"/>
    <pivotTable tabId="12" name="Dept wise Attrition"/>
    <pivotTable tabId="10" name="Education by Attrition"/>
    <pivotTable tabId="7" name="KPI"/>
    <pivotTable tabId="16" name="Marital status"/>
    <pivotTable tabId="8" name="PivotTable1"/>
    <pivotTable tabId="8" name="Rating"/>
  </pivotTables>
  <data>
    <tabular pivotCacheId="4932857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7735D26-CB4B-4951-B5D8-69495F8FC517}" sourceName="Department">
  <pivotTables>
    <pivotTable tabId="13" name="Attrition by Age group"/>
    <pivotTable tabId="11" name="Attrition wise Job"/>
    <pivotTable tabId="12" name="Dept wise Attrition"/>
    <pivotTable tabId="10" name="Education by Attrition"/>
    <pivotTable tabId="9" name="gender"/>
    <pivotTable tabId="7" name="KPI"/>
    <pivotTable tabId="16" name="Marital status"/>
    <pivotTable tabId="8" name="PivotTable1"/>
    <pivotTable tabId="8" name="Rating"/>
  </pivotTables>
  <data>
    <tabular pivotCacheId="49328577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B4639A8-E6B2-4F06-AC1F-BB9CEEED5CCE}" sourceName="Education Field">
  <pivotTables>
    <pivotTable tabId="13" name="Attrition by Age group"/>
    <pivotTable tabId="11" name="Attrition wise Job"/>
    <pivotTable tabId="12" name="Dept wise Attrition"/>
    <pivotTable tabId="10" name="Education by Attrition"/>
    <pivotTable tabId="9" name="gender"/>
    <pivotTable tabId="7" name="KPI"/>
    <pivotTable tabId="16" name="Marital status"/>
    <pivotTable tabId="8" name="PivotTable1"/>
    <pivotTable tabId="8" name="Rating"/>
  </pivotTables>
  <data>
    <tabular pivotCacheId="49328577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D41CD0F-8556-4F00-BAF7-4318209C85EA}" cache="Slicer_Gender1" caption="Gender" rowHeight="260350"/>
  <slicer name="Education Field" xr10:uid="{137A5C8D-389F-4F3B-8763-E3D92DBBE649}" cache="Slicer_Education_Field2"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BFFF090-5D38-4719-A676-39EFF71B2492}" cache="Slicer_Gender1" caption="Gender" rowHeight="260350"/>
  <slicer name="Education Field 1" xr10:uid="{0B823885-E940-4960-B34B-48FB491B720E}"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22CEF3A-24D1-46CC-9173-23F98ED07885}" cache="Slicer_Gender1" caption="Gender" style="Slicer " rowHeight="260350"/>
  <slicer name="Department 1" xr10:uid="{E64F7845-A9A9-4AD0-959A-D03505603E97}" cache="Slicer_Department" caption="Department" style="Slicer " rowHeight="260350"/>
  <slicer name="Education Field 3" xr10:uid="{1216A764-F8AA-48A8-BAD0-719D26A1960D}" cache="Slicer_Education_Field2" caption="Education Field"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931BF1-5134-4832-B88A-CD2760C334F4}" name="Table2" displayName="Table2" ref="A3:AR66" totalsRowShown="0">
  <autoFilter ref="A3:AR66" xr:uid="{4B931BF1-5134-4832-B88A-CD2760C334F4}"/>
  <tableColumns count="44">
    <tableColumn id="1" xr3:uid="{C61E815F-021E-4AEE-A1E6-E009DAD73EB0}" name="Attrition"/>
    <tableColumn id="2" xr3:uid="{851FB2B8-F6CC-406C-998E-1C89CA2593E0}" name="Business Travel"/>
    <tableColumn id="3" xr3:uid="{DA728E41-0335-4989-942D-A3AC4D4071FE}" name="CF_age band"/>
    <tableColumn id="4" xr3:uid="{FE7E6C26-7EE9-4833-9CA4-C377691C5B47}" name="CF_attrition label"/>
    <tableColumn id="5" xr3:uid="{1DF678A0-7DD5-4401-85BE-D122B7450CE0}" name="Department"/>
    <tableColumn id="6" xr3:uid="{4BC8BBDF-8986-4C00-A384-A22DEFC8D894}" name="Education Field"/>
    <tableColumn id="7" xr3:uid="{E5A525B3-2BB0-4FAE-8797-FC992185CCD7}" name="emp no"/>
    <tableColumn id="8" xr3:uid="{034F8C9F-BDFA-4A46-9A2B-0DE12EA4604A}" name="Employee Number"/>
    <tableColumn id="9" xr3:uid="{6AC9E48F-021F-41DF-9460-AA72D7FECFC3}" name="Gender"/>
    <tableColumn id="10" xr3:uid="{CD638729-59E6-48C7-AB48-F3D8EA394487}" name="Job Role"/>
    <tableColumn id="11" xr3:uid="{8B8876AC-64FE-4132-B799-9813918AA386}" name="Marital Status"/>
    <tableColumn id="12" xr3:uid="{1F957A27-B989-47FA-8C70-6E967582922D}" name="Over Time"/>
    <tableColumn id="13" xr3:uid="{0AE27185-186A-4443-8265-BF5273ED2633}" name="Over18"/>
    <tableColumn id="14" xr3:uid="{275ECC06-2B9B-47BF-B763-39BF5506D1E4}" name="Training Times Last Year"/>
    <tableColumn id="15" xr3:uid="{0FE7E5D1-D6F0-401C-88A3-7A5AE4856867}" name="-2"/>
    <tableColumn id="16" xr3:uid="{C9AF09FA-028F-4FEF-95C9-87464F0B1A9A}" name="0"/>
    <tableColumn id="17" xr3:uid="{67AFA2CE-8111-4526-8E10-F81BC686EFC4}" name="Age"/>
    <tableColumn id="18" xr3:uid="{0BC47ADE-CF37-48EC-AE95-9A6263E2B51A}" name="CF_attrition count"/>
    <tableColumn id="19" xr3:uid="{DF12F146-74AD-4487-8DEF-454D1A59FA9A}" name="CF_attrition counts"/>
    <tableColumn id="20" xr3:uid="{203D5987-08B6-4C96-A59A-1149FA99FC97}" name="CF_attrition rate"/>
    <tableColumn id="21" xr3:uid="{2E5A4170-440B-4BA4-B8C2-9FC615563F4E}" name="CF_current Employee"/>
    <tableColumn id="22" xr3:uid="{CAD04293-CD47-479D-911D-AA00D5A61ADB}" name="Daily Rate"/>
    <tableColumn id="23" xr3:uid="{26593227-1AD7-4194-969E-423E144A9776}" name="Distance From Home"/>
    <tableColumn id="24" xr3:uid="{8DB3C03A-2922-49F6-A381-A88D4ABDC5C0}" name="Education"/>
    <tableColumn id="25" xr3:uid="{7EB48ABC-1855-4201-A48E-6D636BCC98DC}" name="Employee Count"/>
    <tableColumn id="26" xr3:uid="{CC9C66F5-1D5F-4FFC-8AD8-C80D7F696F7E}" name="Environment Satisfaction"/>
    <tableColumn id="27" xr3:uid="{6D196F4E-2864-4A9A-8A62-90A093C600EB}" name="Hourly Rate"/>
    <tableColumn id="28" xr3:uid="{6DD3587C-5EFB-43FD-878E-EADC2A512D1E}" name="Job Involvement"/>
    <tableColumn id="29" xr3:uid="{877F8C3F-D503-482E-A4E8-BF5E1656718F}" name="Job Level"/>
    <tableColumn id="30" xr3:uid="{1000DF20-E199-4326-9586-D5F2169C665B}" name="Job Satisfaction"/>
    <tableColumn id="31" xr3:uid="{B6010D50-439B-467F-B01F-978785B20C03}" name="Monthly Income"/>
    <tableColumn id="32" xr3:uid="{5E8A9B3E-9B26-42CD-A787-24EEBA6D2627}" name="Monthly Rate"/>
    <tableColumn id="33" xr3:uid="{BE52F7F8-813A-4489-8A3C-3518320694C1}" name="Num Companies Worked"/>
    <tableColumn id="34" xr3:uid="{C44D637D-C5DF-454D-9DA5-5FE3DBEE6D67}" name="Percent Salary Hike"/>
    <tableColumn id="35" xr3:uid="{888B67F8-382E-469A-BBC4-E085E1370BA2}" name="Performance Rating"/>
    <tableColumn id="36" xr3:uid="{4AA13527-A413-44A6-827A-2D75D136C335}" name="Relationship Satisfaction"/>
    <tableColumn id="37" xr3:uid="{2E327B1A-B293-42A9-880D-14D9DC5AE4AE}" name="Standard Hours"/>
    <tableColumn id="38" xr3:uid="{45685214-BD7B-45E9-9F1C-B42969C2A33E}" name="Stock Option Level"/>
    <tableColumn id="39" xr3:uid="{8869DB1E-BB9E-47EF-892F-27CA38815701}" name="Total Working Years"/>
    <tableColumn id="40" xr3:uid="{72098999-1D7F-48A7-849B-DDFFB518EB58}" name="Work Life Balance"/>
    <tableColumn id="41" xr3:uid="{74665D51-C9DD-4AB5-98E0-CF9A93EEE312}" name="Years At Company"/>
    <tableColumn id="42" xr3:uid="{E476EA08-4BFA-40B1-995F-33B5B2989906}" name="Years In Current Role"/>
    <tableColumn id="43" xr3:uid="{6A190279-F67F-4181-86C3-004069C629CB}" name="Years Since Last Promotion"/>
    <tableColumn id="44" xr3:uid="{11C61CAD-1A8A-4EF5-B9A1-D229D6F021A4}"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445B5-2B96-496C-9C66-CBD744C704F2}">
  <sheetPr codeName="Sheet1"/>
  <dimension ref="A3:E9"/>
  <sheetViews>
    <sheetView workbookViewId="0">
      <selection activeCell="C9" sqref="C9"/>
    </sheetView>
  </sheetViews>
  <sheetFormatPr defaultRowHeight="15.6" x14ac:dyDescent="0.3"/>
  <cols>
    <col min="1" max="1" width="24.5" bestFit="1" customWidth="1"/>
    <col min="2" max="2" width="22.796875" bestFit="1" customWidth="1"/>
    <col min="3" max="3" width="13.5" bestFit="1" customWidth="1"/>
    <col min="4" max="4" width="14.8984375" customWidth="1"/>
    <col min="5" max="5" width="20.59765625" customWidth="1"/>
  </cols>
  <sheetData>
    <row r="3" spans="1:5" x14ac:dyDescent="0.3">
      <c r="A3" s="2" t="s">
        <v>1555</v>
      </c>
      <c r="B3" s="5" t="s">
        <v>1554</v>
      </c>
      <c r="C3" s="4" t="s">
        <v>1556</v>
      </c>
    </row>
    <row r="4" spans="1:5" x14ac:dyDescent="0.3">
      <c r="A4" s="23">
        <v>1470</v>
      </c>
      <c r="B4" s="24">
        <v>237</v>
      </c>
      <c r="C4" s="25">
        <v>36.923809523809524</v>
      </c>
    </row>
    <row r="8" spans="1:5" x14ac:dyDescent="0.3">
      <c r="A8" t="s">
        <v>1557</v>
      </c>
      <c r="B8" t="s">
        <v>1558</v>
      </c>
      <c r="C8" t="s">
        <v>1559</v>
      </c>
      <c r="D8" t="s">
        <v>1560</v>
      </c>
      <c r="E8" t="s">
        <v>1561</v>
      </c>
    </row>
    <row r="9" spans="1:5" x14ac:dyDescent="0.3">
      <c r="A9">
        <f>GETPIVOTDATA("Count of Employee Number",$A$3)</f>
        <v>1470</v>
      </c>
      <c r="B9">
        <f>GETPIVOTDATA("Sum of CF_attrition count",$A$3)</f>
        <v>237</v>
      </c>
      <c r="C9" s="8">
        <f>GETPIVOTDATA("Average of Age",$A$3)</f>
        <v>36.923809523809524</v>
      </c>
      <c r="D9">
        <f>A9-B9</f>
        <v>1233</v>
      </c>
      <c r="E9" s="6">
        <f>B9/A9</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DE86E-82A1-4EC0-87B2-04F5137DEFEA}">
  <sheetPr codeName="Sheet2"/>
  <dimension ref="A3:C17"/>
  <sheetViews>
    <sheetView workbookViewId="0">
      <selection activeCell="A16" sqref="A16"/>
    </sheetView>
  </sheetViews>
  <sheetFormatPr defaultRowHeight="15.6" x14ac:dyDescent="0.3"/>
  <cols>
    <col min="1" max="1" width="23.59765625" bestFit="1" customWidth="1"/>
  </cols>
  <sheetData>
    <row r="3" spans="1:3" x14ac:dyDescent="0.3">
      <c r="A3" s="3" t="s">
        <v>1562</v>
      </c>
    </row>
    <row r="4" spans="1:3" x14ac:dyDescent="0.3">
      <c r="A4" s="10">
        <v>2.6265306122448981</v>
      </c>
    </row>
    <row r="7" spans="1:3" x14ac:dyDescent="0.3">
      <c r="A7" t="s">
        <v>1563</v>
      </c>
      <c r="B7" s="7">
        <f>GETPIVOTDATA("Job Satisfaction",$A$3)</f>
        <v>2.6265306122448981</v>
      </c>
      <c r="C7">
        <f>B7/4</f>
        <v>0.65663265306122454</v>
      </c>
    </row>
    <row r="8" spans="1:3" x14ac:dyDescent="0.3">
      <c r="A8" t="s">
        <v>1564</v>
      </c>
      <c r="B8" s="7">
        <f>4-B7</f>
        <v>1.3734693877551019</v>
      </c>
      <c r="C8">
        <f>B8/4</f>
        <v>0.34336734693877546</v>
      </c>
    </row>
    <row r="16" spans="1:3" x14ac:dyDescent="0.3">
      <c r="A16" s="3" t="s">
        <v>1562</v>
      </c>
    </row>
    <row r="17" spans="1:1" x14ac:dyDescent="0.3">
      <c r="A17" s="10">
        <v>2.6265306122448981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5D6F-90C6-4BBF-A5CE-54ED748E95C9}">
  <sheetPr codeName="Sheet3"/>
  <dimension ref="A3:C10"/>
  <sheetViews>
    <sheetView workbookViewId="0">
      <selection activeCell="C9" sqref="C9:C10"/>
    </sheetView>
  </sheetViews>
  <sheetFormatPr defaultRowHeight="15.6" x14ac:dyDescent="0.3"/>
  <cols>
    <col min="1" max="1" width="12.19921875" bestFit="1" customWidth="1"/>
    <col min="2" max="2" width="22.796875" bestFit="1" customWidth="1"/>
  </cols>
  <sheetData>
    <row r="3" spans="1:3" x14ac:dyDescent="0.3">
      <c r="A3" s="11" t="s">
        <v>1565</v>
      </c>
      <c r="B3" s="3" t="s">
        <v>1567</v>
      </c>
    </row>
    <row r="4" spans="1:3" x14ac:dyDescent="0.3">
      <c r="A4" s="12" t="s">
        <v>51</v>
      </c>
      <c r="B4" s="3">
        <v>588</v>
      </c>
    </row>
    <row r="5" spans="1:3" x14ac:dyDescent="0.3">
      <c r="A5" s="13" t="s">
        <v>62</v>
      </c>
      <c r="B5" s="21">
        <v>882</v>
      </c>
    </row>
    <row r="6" spans="1:3" x14ac:dyDescent="0.3">
      <c r="A6" s="14" t="s">
        <v>1566</v>
      </c>
      <c r="B6" s="22">
        <v>1470</v>
      </c>
    </row>
    <row r="9" spans="1:3" x14ac:dyDescent="0.3">
      <c r="A9" s="15" t="s">
        <v>51</v>
      </c>
      <c r="B9">
        <f>IFERROR(GETPIVOTDATA("Employee Count",$A$3,"Gender","Female"),0)</f>
        <v>588</v>
      </c>
      <c r="C9" s="16">
        <f>IFERROR(B9/($B$9+$B$10),0)</f>
        <v>0.4</v>
      </c>
    </row>
    <row r="10" spans="1:3" x14ac:dyDescent="0.3">
      <c r="A10" s="15" t="s">
        <v>62</v>
      </c>
      <c r="B10">
        <f>IFERROR(GETPIVOTDATA("Employee Count",$A$3,"Gender","Male"),0)</f>
        <v>882</v>
      </c>
      <c r="C10" s="16">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A13B-5AB0-4950-89EE-63BCC8229C33}">
  <sheetPr codeName="Sheet4"/>
  <dimension ref="A3:B9"/>
  <sheetViews>
    <sheetView workbookViewId="0">
      <selection activeCell="B5" sqref="B5"/>
    </sheetView>
  </sheetViews>
  <sheetFormatPr defaultRowHeight="15.6" x14ac:dyDescent="0.3"/>
  <cols>
    <col min="1" max="1" width="16" bestFit="1" customWidth="1"/>
    <col min="2" max="2" width="22.796875" bestFit="1" customWidth="1"/>
  </cols>
  <sheetData>
    <row r="3" spans="1:2" x14ac:dyDescent="0.3">
      <c r="A3" s="11" t="s">
        <v>1565</v>
      </c>
      <c r="B3" s="3" t="s">
        <v>1554</v>
      </c>
    </row>
    <row r="4" spans="1:2" x14ac:dyDescent="0.3">
      <c r="A4" s="12" t="s">
        <v>134</v>
      </c>
      <c r="B4" s="3">
        <v>5</v>
      </c>
    </row>
    <row r="5" spans="1:2" x14ac:dyDescent="0.3">
      <c r="A5" s="13" t="s">
        <v>65</v>
      </c>
      <c r="B5" s="21">
        <v>31</v>
      </c>
    </row>
    <row r="6" spans="1:2" x14ac:dyDescent="0.3">
      <c r="A6" s="13" t="s">
        <v>55</v>
      </c>
      <c r="B6" s="21">
        <v>44</v>
      </c>
    </row>
    <row r="7" spans="1:2" x14ac:dyDescent="0.3">
      <c r="A7" s="13" t="s">
        <v>71</v>
      </c>
      <c r="B7" s="21">
        <v>58</v>
      </c>
    </row>
    <row r="8" spans="1:2" x14ac:dyDescent="0.3">
      <c r="A8" s="13" t="s">
        <v>77</v>
      </c>
      <c r="B8" s="21">
        <v>99</v>
      </c>
    </row>
    <row r="9" spans="1:2" x14ac:dyDescent="0.3">
      <c r="A9" s="14" t="s">
        <v>1566</v>
      </c>
      <c r="B9" s="2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CC7C8-97EB-4CA3-BBF5-28C073E609CC}">
  <sheetPr codeName="Sheet5"/>
  <dimension ref="A3:E13"/>
  <sheetViews>
    <sheetView workbookViewId="0">
      <selection activeCell="D3" sqref="D3:E1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1" t="s">
        <v>1565</v>
      </c>
      <c r="B3" s="3" t="s">
        <v>1554</v>
      </c>
      <c r="D3" t="s">
        <v>9</v>
      </c>
      <c r="E3" t="s">
        <v>0</v>
      </c>
    </row>
    <row r="4" spans="1:5" x14ac:dyDescent="0.3">
      <c r="A4" s="12" t="s">
        <v>83</v>
      </c>
      <c r="B4" s="3">
        <v>9</v>
      </c>
      <c r="D4" t="str">
        <f>A4:A12</f>
        <v>Healthcare Representative</v>
      </c>
      <c r="E4">
        <v>9</v>
      </c>
    </row>
    <row r="5" spans="1:5" x14ac:dyDescent="0.3">
      <c r="A5" s="13" t="s">
        <v>163</v>
      </c>
      <c r="B5" s="21">
        <v>12</v>
      </c>
      <c r="D5" t="str">
        <f t="shared" ref="D5:D11" si="0">A5:A13</f>
        <v>Human Resources</v>
      </c>
      <c r="E5">
        <v>12</v>
      </c>
    </row>
    <row r="6" spans="1:5" x14ac:dyDescent="0.3">
      <c r="A6" s="13" t="s">
        <v>68</v>
      </c>
      <c r="B6" s="21">
        <v>62</v>
      </c>
      <c r="D6" t="str">
        <f t="shared" si="0"/>
        <v>Laboratory Technician</v>
      </c>
      <c r="E6">
        <v>62</v>
      </c>
    </row>
    <row r="7" spans="1:5" x14ac:dyDescent="0.3">
      <c r="A7" s="13" t="s">
        <v>95</v>
      </c>
      <c r="B7" s="21">
        <v>5</v>
      </c>
      <c r="D7" t="str">
        <f t="shared" si="0"/>
        <v>Manager</v>
      </c>
      <c r="E7">
        <v>5</v>
      </c>
    </row>
    <row r="8" spans="1:5" x14ac:dyDescent="0.3">
      <c r="A8" s="13" t="s">
        <v>81</v>
      </c>
      <c r="B8" s="21">
        <v>10</v>
      </c>
      <c r="D8" t="str">
        <f t="shared" si="0"/>
        <v>Manufacturing Director</v>
      </c>
      <c r="E8">
        <v>10</v>
      </c>
    </row>
    <row r="9" spans="1:5" x14ac:dyDescent="0.3">
      <c r="A9" s="13" t="s">
        <v>101</v>
      </c>
      <c r="B9" s="21">
        <v>2</v>
      </c>
      <c r="D9" t="str">
        <f t="shared" si="0"/>
        <v>Research Director</v>
      </c>
      <c r="E9">
        <v>2</v>
      </c>
    </row>
    <row r="10" spans="1:5" x14ac:dyDescent="0.3">
      <c r="A10" s="13" t="s">
        <v>63</v>
      </c>
      <c r="B10" s="21">
        <v>47</v>
      </c>
      <c r="D10" t="str">
        <f t="shared" si="0"/>
        <v>Research Scientist</v>
      </c>
      <c r="E10">
        <v>47</v>
      </c>
    </row>
    <row r="11" spans="1:5" x14ac:dyDescent="0.3">
      <c r="A11" s="13" t="s">
        <v>52</v>
      </c>
      <c r="B11" s="21">
        <v>57</v>
      </c>
      <c r="D11" t="str">
        <f t="shared" si="0"/>
        <v>Sales Executive</v>
      </c>
      <c r="E11">
        <v>57</v>
      </c>
    </row>
    <row r="12" spans="1:5" x14ac:dyDescent="0.3">
      <c r="A12" s="13" t="s">
        <v>99</v>
      </c>
      <c r="B12" s="21">
        <v>33</v>
      </c>
      <c r="D12" t="s">
        <v>99</v>
      </c>
      <c r="E12">
        <v>33</v>
      </c>
    </row>
    <row r="13" spans="1:5" x14ac:dyDescent="0.3">
      <c r="A13" s="14" t="s">
        <v>1566</v>
      </c>
      <c r="B13" s="2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9559D-A3C7-41BA-89FB-636EB330BE57}">
  <dimension ref="A1:AR66"/>
  <sheetViews>
    <sheetView workbookViewId="0">
      <selection activeCell="A3" sqref="A3:AR66"/>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 bestFit="1" customWidth="1"/>
    <col min="6" max="6" width="15.8984375" bestFit="1" customWidth="1"/>
    <col min="7" max="7" width="10.3984375" bestFit="1" customWidth="1"/>
    <col min="8" max="8" width="18.5" bestFit="1" customWidth="1"/>
    <col min="9" max="9" width="9.09765625" bestFit="1" customWidth="1"/>
    <col min="10" max="10" width="15.8984375" bestFit="1" customWidth="1"/>
    <col min="11" max="11" width="14.69921875" bestFit="1" customWidth="1"/>
    <col min="12" max="12" width="11.398437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296875" bestFit="1" customWidth="1"/>
    <col min="23" max="23" width="20.3984375" bestFit="1" customWidth="1"/>
    <col min="24" max="24" width="16" bestFit="1" customWidth="1"/>
    <col min="25" max="25" width="16.796875" bestFit="1" customWidth="1"/>
    <col min="26" max="26" width="24.19921875" bestFit="1" customWidth="1"/>
    <col min="27" max="27" width="12.69921875" bestFit="1" customWidth="1"/>
    <col min="28" max="28" width="16.69921875" bestFit="1" customWidth="1"/>
    <col min="29" max="29" width="10.3984375" bestFit="1" customWidth="1"/>
    <col min="30" max="30" width="16" bestFit="1" customWidth="1"/>
    <col min="31" max="31" width="16.69921875" bestFit="1" customWidth="1"/>
    <col min="32" max="32" width="14.296875" bestFit="1" customWidth="1"/>
    <col min="33" max="33" width="24.09765625" bestFit="1" customWidth="1"/>
    <col min="34" max="34" width="18.8984375" bestFit="1" customWidth="1"/>
    <col min="35" max="35" width="19.5" bestFit="1" customWidth="1"/>
    <col min="36" max="36" width="23.8984375" bestFit="1" customWidth="1"/>
    <col min="37" max="37" width="16" bestFit="1" customWidth="1"/>
    <col min="38" max="38" width="18.3984375" bestFit="1" customWidth="1"/>
    <col min="39" max="39" width="19.8984375" bestFit="1" customWidth="1"/>
    <col min="40" max="40" width="17.8984375" bestFit="1" customWidth="1"/>
    <col min="41" max="41" width="18.296875" bestFit="1" customWidth="1"/>
    <col min="42" max="42" width="20.796875" bestFit="1" customWidth="1"/>
    <col min="43" max="43" width="25.69921875" bestFit="1" customWidth="1"/>
    <col min="44" max="44" width="24.296875" bestFit="1" customWidth="1"/>
  </cols>
  <sheetData>
    <row r="1" spans="1:44" x14ac:dyDescent="0.3">
      <c r="A1" s="20" t="s">
        <v>1570</v>
      </c>
    </row>
    <row r="3" spans="1:4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
      <c r="A4" t="s">
        <v>44</v>
      </c>
      <c r="B4" t="s">
        <v>45</v>
      </c>
      <c r="C4" t="s">
        <v>69</v>
      </c>
      <c r="D4" t="s">
        <v>47</v>
      </c>
      <c r="E4" t="s">
        <v>161</v>
      </c>
      <c r="F4" t="s">
        <v>163</v>
      </c>
      <c r="G4" t="s">
        <v>1532</v>
      </c>
      <c r="H4">
        <v>1844</v>
      </c>
      <c r="I4" t="s">
        <v>62</v>
      </c>
      <c r="J4" t="s">
        <v>163</v>
      </c>
      <c r="K4" t="s">
        <v>79</v>
      </c>
      <c r="L4" t="s">
        <v>44</v>
      </c>
      <c r="M4" t="s">
        <v>54</v>
      </c>
      <c r="N4">
        <v>3</v>
      </c>
      <c r="O4">
        <v>-2</v>
      </c>
      <c r="P4">
        <v>0</v>
      </c>
      <c r="Q4">
        <v>29</v>
      </c>
      <c r="R4">
        <v>1</v>
      </c>
      <c r="S4">
        <v>1</v>
      </c>
      <c r="T4">
        <v>1</v>
      </c>
      <c r="U4">
        <v>0</v>
      </c>
      <c r="V4">
        <v>350</v>
      </c>
      <c r="W4">
        <v>13</v>
      </c>
      <c r="X4" t="s">
        <v>77</v>
      </c>
      <c r="Y4">
        <v>1</v>
      </c>
      <c r="Z4">
        <v>1</v>
      </c>
      <c r="AA4">
        <v>56</v>
      </c>
      <c r="AB4">
        <v>2</v>
      </c>
      <c r="AC4">
        <v>1</v>
      </c>
      <c r="AD4">
        <v>1</v>
      </c>
      <c r="AE4">
        <v>2335</v>
      </c>
      <c r="AF4">
        <v>3157</v>
      </c>
      <c r="AG4">
        <v>4</v>
      </c>
      <c r="AH4">
        <v>15</v>
      </c>
      <c r="AI4">
        <v>3</v>
      </c>
      <c r="AJ4">
        <v>4</v>
      </c>
      <c r="AK4">
        <v>80</v>
      </c>
      <c r="AL4">
        <v>3</v>
      </c>
      <c r="AM4">
        <v>4</v>
      </c>
      <c r="AN4">
        <v>3</v>
      </c>
      <c r="AO4">
        <v>2</v>
      </c>
      <c r="AP4">
        <v>2</v>
      </c>
      <c r="AQ4">
        <v>2</v>
      </c>
      <c r="AR4">
        <v>0</v>
      </c>
    </row>
    <row r="5" spans="1:44" x14ac:dyDescent="0.3">
      <c r="A5" t="s">
        <v>44</v>
      </c>
      <c r="B5" t="s">
        <v>45</v>
      </c>
      <c r="C5" t="s">
        <v>69</v>
      </c>
      <c r="D5" t="s">
        <v>47</v>
      </c>
      <c r="E5" t="s">
        <v>161</v>
      </c>
      <c r="F5" t="s">
        <v>72</v>
      </c>
      <c r="G5" t="s">
        <v>1523</v>
      </c>
      <c r="H5">
        <v>1818</v>
      </c>
      <c r="I5" t="s">
        <v>51</v>
      </c>
      <c r="J5" t="s">
        <v>163</v>
      </c>
      <c r="K5" t="s">
        <v>64</v>
      </c>
      <c r="L5" t="s">
        <v>44</v>
      </c>
      <c r="M5" t="s">
        <v>54</v>
      </c>
      <c r="N5">
        <v>3</v>
      </c>
      <c r="O5">
        <v>-2</v>
      </c>
      <c r="P5">
        <v>0</v>
      </c>
      <c r="Q5">
        <v>26</v>
      </c>
      <c r="R5">
        <v>1</v>
      </c>
      <c r="S5">
        <v>1</v>
      </c>
      <c r="T5">
        <v>1</v>
      </c>
      <c r="U5">
        <v>0</v>
      </c>
      <c r="V5">
        <v>920</v>
      </c>
      <c r="W5">
        <v>20</v>
      </c>
      <c r="X5" t="s">
        <v>55</v>
      </c>
      <c r="Y5">
        <v>1</v>
      </c>
      <c r="Z5">
        <v>4</v>
      </c>
      <c r="AA5">
        <v>69</v>
      </c>
      <c r="AB5">
        <v>3</v>
      </c>
      <c r="AC5">
        <v>1</v>
      </c>
      <c r="AD5">
        <v>2</v>
      </c>
      <c r="AE5">
        <v>2148</v>
      </c>
      <c r="AF5">
        <v>6889</v>
      </c>
      <c r="AG5">
        <v>0</v>
      </c>
      <c r="AH5">
        <v>11</v>
      </c>
      <c r="AI5">
        <v>3</v>
      </c>
      <c r="AJ5">
        <v>3</v>
      </c>
      <c r="AK5">
        <v>80</v>
      </c>
      <c r="AL5">
        <v>0</v>
      </c>
      <c r="AM5">
        <v>6</v>
      </c>
      <c r="AN5">
        <v>3</v>
      </c>
      <c r="AO5">
        <v>5</v>
      </c>
      <c r="AP5">
        <v>1</v>
      </c>
      <c r="AQ5">
        <v>1</v>
      </c>
      <c r="AR5">
        <v>4</v>
      </c>
    </row>
    <row r="6" spans="1:44" x14ac:dyDescent="0.3">
      <c r="A6" t="s">
        <v>44</v>
      </c>
      <c r="B6" t="s">
        <v>45</v>
      </c>
      <c r="C6" t="s">
        <v>92</v>
      </c>
      <c r="D6" t="s">
        <v>47</v>
      </c>
      <c r="E6" t="s">
        <v>161</v>
      </c>
      <c r="F6" t="s">
        <v>163</v>
      </c>
      <c r="G6" t="s">
        <v>1502</v>
      </c>
      <c r="H6">
        <v>1714</v>
      </c>
      <c r="I6" t="s">
        <v>62</v>
      </c>
      <c r="J6" t="s">
        <v>163</v>
      </c>
      <c r="K6" t="s">
        <v>64</v>
      </c>
      <c r="L6" t="s">
        <v>56</v>
      </c>
      <c r="M6" t="s">
        <v>54</v>
      </c>
      <c r="N6">
        <v>2</v>
      </c>
      <c r="O6">
        <v>-2</v>
      </c>
      <c r="P6">
        <v>0</v>
      </c>
      <c r="Q6">
        <v>24</v>
      </c>
      <c r="R6">
        <v>1</v>
      </c>
      <c r="S6">
        <v>1</v>
      </c>
      <c r="T6">
        <v>1</v>
      </c>
      <c r="U6">
        <v>0</v>
      </c>
      <c r="V6">
        <v>240</v>
      </c>
      <c r="W6">
        <v>22</v>
      </c>
      <c r="X6" t="s">
        <v>65</v>
      </c>
      <c r="Y6">
        <v>1</v>
      </c>
      <c r="Z6">
        <v>4</v>
      </c>
      <c r="AA6">
        <v>58</v>
      </c>
      <c r="AB6">
        <v>1</v>
      </c>
      <c r="AC6">
        <v>1</v>
      </c>
      <c r="AD6">
        <v>3</v>
      </c>
      <c r="AE6">
        <v>1555</v>
      </c>
      <c r="AF6">
        <v>11585</v>
      </c>
      <c r="AG6">
        <v>1</v>
      </c>
      <c r="AH6">
        <v>11</v>
      </c>
      <c r="AI6">
        <v>3</v>
      </c>
      <c r="AJ6">
        <v>3</v>
      </c>
      <c r="AK6">
        <v>80</v>
      </c>
      <c r="AL6">
        <v>1</v>
      </c>
      <c r="AM6">
        <v>1</v>
      </c>
      <c r="AN6">
        <v>3</v>
      </c>
      <c r="AO6">
        <v>1</v>
      </c>
      <c r="AP6">
        <v>0</v>
      </c>
      <c r="AQ6">
        <v>0</v>
      </c>
      <c r="AR6">
        <v>0</v>
      </c>
    </row>
    <row r="7" spans="1:44" x14ac:dyDescent="0.3">
      <c r="A7" t="s">
        <v>44</v>
      </c>
      <c r="B7" t="s">
        <v>45</v>
      </c>
      <c r="C7" t="s">
        <v>69</v>
      </c>
      <c r="D7" t="s">
        <v>47</v>
      </c>
      <c r="E7" t="s">
        <v>161</v>
      </c>
      <c r="F7" t="s">
        <v>163</v>
      </c>
      <c r="G7" t="s">
        <v>1501</v>
      </c>
      <c r="H7">
        <v>1842</v>
      </c>
      <c r="I7" t="s">
        <v>62</v>
      </c>
      <c r="J7" t="s">
        <v>163</v>
      </c>
      <c r="K7" t="s">
        <v>64</v>
      </c>
      <c r="L7" t="s">
        <v>56</v>
      </c>
      <c r="M7" t="s">
        <v>54</v>
      </c>
      <c r="N7">
        <v>4</v>
      </c>
      <c r="O7">
        <v>-2</v>
      </c>
      <c r="P7">
        <v>0</v>
      </c>
      <c r="Q7">
        <v>31</v>
      </c>
      <c r="R7">
        <v>1</v>
      </c>
      <c r="S7">
        <v>1</v>
      </c>
      <c r="T7">
        <v>1</v>
      </c>
      <c r="U7">
        <v>0</v>
      </c>
      <c r="V7">
        <v>359</v>
      </c>
      <c r="W7">
        <v>18</v>
      </c>
      <c r="X7" t="s">
        <v>134</v>
      </c>
      <c r="Y7">
        <v>1</v>
      </c>
      <c r="Z7">
        <v>4</v>
      </c>
      <c r="AA7">
        <v>89</v>
      </c>
      <c r="AB7">
        <v>4</v>
      </c>
      <c r="AC7">
        <v>1</v>
      </c>
      <c r="AD7">
        <v>1</v>
      </c>
      <c r="AE7">
        <v>2956</v>
      </c>
      <c r="AF7">
        <v>21495</v>
      </c>
      <c r="AG7">
        <v>0</v>
      </c>
      <c r="AH7">
        <v>17</v>
      </c>
      <c r="AI7">
        <v>3</v>
      </c>
      <c r="AJ7">
        <v>3</v>
      </c>
      <c r="AK7">
        <v>80</v>
      </c>
      <c r="AL7">
        <v>0</v>
      </c>
      <c r="AM7">
        <v>2</v>
      </c>
      <c r="AN7">
        <v>3</v>
      </c>
      <c r="AO7">
        <v>1</v>
      </c>
      <c r="AP7">
        <v>0</v>
      </c>
      <c r="AQ7">
        <v>0</v>
      </c>
      <c r="AR7">
        <v>0</v>
      </c>
    </row>
    <row r="8" spans="1:44" x14ac:dyDescent="0.3">
      <c r="A8" t="s">
        <v>44</v>
      </c>
      <c r="B8" t="s">
        <v>45</v>
      </c>
      <c r="C8" t="s">
        <v>69</v>
      </c>
      <c r="D8" t="s">
        <v>47</v>
      </c>
      <c r="E8" t="s">
        <v>161</v>
      </c>
      <c r="F8" t="s">
        <v>113</v>
      </c>
      <c r="G8" t="s">
        <v>1490</v>
      </c>
      <c r="H8">
        <v>1467</v>
      </c>
      <c r="I8" t="s">
        <v>51</v>
      </c>
      <c r="J8" t="s">
        <v>163</v>
      </c>
      <c r="K8" t="s">
        <v>64</v>
      </c>
      <c r="L8" t="s">
        <v>56</v>
      </c>
      <c r="M8" t="s">
        <v>54</v>
      </c>
      <c r="N8">
        <v>0</v>
      </c>
      <c r="O8">
        <v>-2</v>
      </c>
      <c r="P8">
        <v>0</v>
      </c>
      <c r="Q8">
        <v>34</v>
      </c>
      <c r="R8">
        <v>1</v>
      </c>
      <c r="S8">
        <v>1</v>
      </c>
      <c r="T8">
        <v>1</v>
      </c>
      <c r="U8">
        <v>0</v>
      </c>
      <c r="V8">
        <v>1107</v>
      </c>
      <c r="W8">
        <v>9</v>
      </c>
      <c r="X8" t="s">
        <v>71</v>
      </c>
      <c r="Y8">
        <v>1</v>
      </c>
      <c r="Z8">
        <v>4</v>
      </c>
      <c r="AA8">
        <v>52</v>
      </c>
      <c r="AB8">
        <v>3</v>
      </c>
      <c r="AC8">
        <v>1</v>
      </c>
      <c r="AD8">
        <v>4</v>
      </c>
      <c r="AE8">
        <v>2742</v>
      </c>
      <c r="AF8">
        <v>3072</v>
      </c>
      <c r="AG8">
        <v>1</v>
      </c>
      <c r="AH8">
        <v>15</v>
      </c>
      <c r="AI8">
        <v>3</v>
      </c>
      <c r="AJ8">
        <v>4</v>
      </c>
      <c r="AK8">
        <v>80</v>
      </c>
      <c r="AL8">
        <v>0</v>
      </c>
      <c r="AM8">
        <v>2</v>
      </c>
      <c r="AN8">
        <v>3</v>
      </c>
      <c r="AO8">
        <v>2</v>
      </c>
      <c r="AP8">
        <v>2</v>
      </c>
      <c r="AQ8">
        <v>2</v>
      </c>
      <c r="AR8">
        <v>2</v>
      </c>
    </row>
    <row r="9" spans="1:44" x14ac:dyDescent="0.3">
      <c r="A9" t="s">
        <v>44</v>
      </c>
      <c r="B9" t="s">
        <v>57</v>
      </c>
      <c r="C9" t="s">
        <v>69</v>
      </c>
      <c r="D9" t="s">
        <v>47</v>
      </c>
      <c r="E9" t="s">
        <v>161</v>
      </c>
      <c r="F9" t="s">
        <v>163</v>
      </c>
      <c r="G9" t="s">
        <v>1485</v>
      </c>
      <c r="H9">
        <v>1944</v>
      </c>
      <c r="I9" t="s">
        <v>51</v>
      </c>
      <c r="J9" t="s">
        <v>163</v>
      </c>
      <c r="K9" t="s">
        <v>64</v>
      </c>
      <c r="L9" t="s">
        <v>56</v>
      </c>
      <c r="M9" t="s">
        <v>54</v>
      </c>
      <c r="N9">
        <v>2</v>
      </c>
      <c r="O9">
        <v>-2</v>
      </c>
      <c r="P9">
        <v>0</v>
      </c>
      <c r="Q9">
        <v>27</v>
      </c>
      <c r="R9">
        <v>1</v>
      </c>
      <c r="S9">
        <v>1</v>
      </c>
      <c r="T9">
        <v>1</v>
      </c>
      <c r="U9">
        <v>0</v>
      </c>
      <c r="V9">
        <v>1337</v>
      </c>
      <c r="W9">
        <v>22</v>
      </c>
      <c r="X9" t="s">
        <v>77</v>
      </c>
      <c r="Y9">
        <v>1</v>
      </c>
      <c r="Z9">
        <v>1</v>
      </c>
      <c r="AA9">
        <v>58</v>
      </c>
      <c r="AB9">
        <v>2</v>
      </c>
      <c r="AC9">
        <v>1</v>
      </c>
      <c r="AD9">
        <v>2</v>
      </c>
      <c r="AE9">
        <v>2863</v>
      </c>
      <c r="AF9">
        <v>19555</v>
      </c>
      <c r="AG9">
        <v>1</v>
      </c>
      <c r="AH9">
        <v>12</v>
      </c>
      <c r="AI9">
        <v>3</v>
      </c>
      <c r="AJ9">
        <v>1</v>
      </c>
      <c r="AK9">
        <v>80</v>
      </c>
      <c r="AL9">
        <v>0</v>
      </c>
      <c r="AM9">
        <v>1</v>
      </c>
      <c r="AN9">
        <v>3</v>
      </c>
      <c r="AO9">
        <v>1</v>
      </c>
      <c r="AP9">
        <v>0</v>
      </c>
      <c r="AQ9">
        <v>0</v>
      </c>
      <c r="AR9">
        <v>0</v>
      </c>
    </row>
    <row r="10" spans="1:44" x14ac:dyDescent="0.3">
      <c r="A10" t="s">
        <v>44</v>
      </c>
      <c r="B10" t="s">
        <v>57</v>
      </c>
      <c r="C10" t="s">
        <v>69</v>
      </c>
      <c r="D10" t="s">
        <v>47</v>
      </c>
      <c r="E10" t="s">
        <v>161</v>
      </c>
      <c r="F10" t="s">
        <v>163</v>
      </c>
      <c r="G10" t="s">
        <v>1484</v>
      </c>
      <c r="H10">
        <v>1747</v>
      </c>
      <c r="I10" t="s">
        <v>51</v>
      </c>
      <c r="J10" t="s">
        <v>163</v>
      </c>
      <c r="K10" t="s">
        <v>79</v>
      </c>
      <c r="L10" t="s">
        <v>56</v>
      </c>
      <c r="M10" t="s">
        <v>54</v>
      </c>
      <c r="N10">
        <v>0</v>
      </c>
      <c r="O10">
        <v>-2</v>
      </c>
      <c r="P10">
        <v>0</v>
      </c>
      <c r="Q10">
        <v>30</v>
      </c>
      <c r="R10">
        <v>1</v>
      </c>
      <c r="S10">
        <v>1</v>
      </c>
      <c r="T10">
        <v>1</v>
      </c>
      <c r="U10">
        <v>0</v>
      </c>
      <c r="V10">
        <v>600</v>
      </c>
      <c r="W10">
        <v>8</v>
      </c>
      <c r="X10" t="s">
        <v>77</v>
      </c>
      <c r="Y10">
        <v>1</v>
      </c>
      <c r="Z10">
        <v>3</v>
      </c>
      <c r="AA10">
        <v>66</v>
      </c>
      <c r="AB10">
        <v>2</v>
      </c>
      <c r="AC10">
        <v>1</v>
      </c>
      <c r="AD10">
        <v>4</v>
      </c>
      <c r="AE10">
        <v>2180</v>
      </c>
      <c r="AF10">
        <v>9732</v>
      </c>
      <c r="AG10">
        <v>6</v>
      </c>
      <c r="AH10">
        <v>11</v>
      </c>
      <c r="AI10">
        <v>3</v>
      </c>
      <c r="AJ10">
        <v>3</v>
      </c>
      <c r="AK10">
        <v>80</v>
      </c>
      <c r="AL10">
        <v>1</v>
      </c>
      <c r="AM10">
        <v>6</v>
      </c>
      <c r="AN10">
        <v>2</v>
      </c>
      <c r="AO10">
        <v>4</v>
      </c>
      <c r="AP10">
        <v>2</v>
      </c>
      <c r="AQ10">
        <v>1</v>
      </c>
      <c r="AR10">
        <v>2</v>
      </c>
    </row>
    <row r="11" spans="1:44" x14ac:dyDescent="0.3">
      <c r="A11" t="s">
        <v>56</v>
      </c>
      <c r="B11" t="s">
        <v>45</v>
      </c>
      <c r="C11" t="s">
        <v>46</v>
      </c>
      <c r="D11" t="s">
        <v>59</v>
      </c>
      <c r="E11" t="s">
        <v>161</v>
      </c>
      <c r="F11" t="s">
        <v>72</v>
      </c>
      <c r="G11" t="s">
        <v>1479</v>
      </c>
      <c r="H11">
        <v>1550</v>
      </c>
      <c r="I11" t="s">
        <v>62</v>
      </c>
      <c r="J11" t="s">
        <v>95</v>
      </c>
      <c r="K11" t="s">
        <v>53</v>
      </c>
      <c r="L11" t="s">
        <v>44</v>
      </c>
      <c r="M11" t="s">
        <v>54</v>
      </c>
      <c r="N11">
        <v>2</v>
      </c>
      <c r="O11">
        <v>-2</v>
      </c>
      <c r="P11">
        <v>0</v>
      </c>
      <c r="Q11">
        <v>40</v>
      </c>
      <c r="R11">
        <v>0</v>
      </c>
      <c r="T11">
        <v>0</v>
      </c>
      <c r="U11">
        <v>1</v>
      </c>
      <c r="V11">
        <v>898</v>
      </c>
      <c r="W11">
        <v>6</v>
      </c>
      <c r="X11" t="s">
        <v>55</v>
      </c>
      <c r="Y11">
        <v>1</v>
      </c>
      <c r="Z11">
        <v>3</v>
      </c>
      <c r="AA11">
        <v>38</v>
      </c>
      <c r="AB11">
        <v>3</v>
      </c>
      <c r="AC11">
        <v>4</v>
      </c>
      <c r="AD11">
        <v>4</v>
      </c>
      <c r="AE11">
        <v>16437</v>
      </c>
      <c r="AF11">
        <v>17381</v>
      </c>
      <c r="AG11">
        <v>1</v>
      </c>
      <c r="AH11">
        <v>21</v>
      </c>
      <c r="AI11">
        <v>4</v>
      </c>
      <c r="AJ11">
        <v>4</v>
      </c>
      <c r="AK11">
        <v>80</v>
      </c>
      <c r="AL11">
        <v>0</v>
      </c>
      <c r="AM11">
        <v>21</v>
      </c>
      <c r="AN11">
        <v>3</v>
      </c>
      <c r="AO11">
        <v>21</v>
      </c>
      <c r="AP11">
        <v>7</v>
      </c>
      <c r="AQ11">
        <v>7</v>
      </c>
      <c r="AR11">
        <v>7</v>
      </c>
    </row>
    <row r="12" spans="1:44" x14ac:dyDescent="0.3">
      <c r="A12" t="s">
        <v>56</v>
      </c>
      <c r="B12" t="s">
        <v>45</v>
      </c>
      <c r="C12" t="s">
        <v>69</v>
      </c>
      <c r="D12" t="s">
        <v>59</v>
      </c>
      <c r="E12" t="s">
        <v>161</v>
      </c>
      <c r="F12" t="s">
        <v>49</v>
      </c>
      <c r="G12" t="s">
        <v>1452</v>
      </c>
      <c r="H12">
        <v>1499</v>
      </c>
      <c r="I12" t="s">
        <v>62</v>
      </c>
      <c r="J12" t="s">
        <v>163</v>
      </c>
      <c r="K12" t="s">
        <v>79</v>
      </c>
      <c r="L12" t="s">
        <v>56</v>
      </c>
      <c r="M12" t="s">
        <v>54</v>
      </c>
      <c r="N12">
        <v>3</v>
      </c>
      <c r="O12">
        <v>-2</v>
      </c>
      <c r="P12">
        <v>0</v>
      </c>
      <c r="Q12">
        <v>30</v>
      </c>
      <c r="R12">
        <v>0</v>
      </c>
      <c r="T12">
        <v>0</v>
      </c>
      <c r="U12">
        <v>1</v>
      </c>
      <c r="V12">
        <v>330</v>
      </c>
      <c r="W12">
        <v>1</v>
      </c>
      <c r="X12" t="s">
        <v>77</v>
      </c>
      <c r="Y12">
        <v>1</v>
      </c>
      <c r="Z12">
        <v>3</v>
      </c>
      <c r="AA12">
        <v>46</v>
      </c>
      <c r="AB12">
        <v>3</v>
      </c>
      <c r="AC12">
        <v>1</v>
      </c>
      <c r="AD12">
        <v>3</v>
      </c>
      <c r="AE12">
        <v>2064</v>
      </c>
      <c r="AF12">
        <v>15428</v>
      </c>
      <c r="AG12">
        <v>0</v>
      </c>
      <c r="AH12">
        <v>21</v>
      </c>
      <c r="AI12">
        <v>4</v>
      </c>
      <c r="AJ12">
        <v>1</v>
      </c>
      <c r="AK12">
        <v>80</v>
      </c>
      <c r="AL12">
        <v>1</v>
      </c>
      <c r="AM12">
        <v>6</v>
      </c>
      <c r="AN12">
        <v>4</v>
      </c>
      <c r="AO12">
        <v>5</v>
      </c>
      <c r="AP12">
        <v>3</v>
      </c>
      <c r="AQ12">
        <v>1</v>
      </c>
      <c r="AR12">
        <v>3</v>
      </c>
    </row>
    <row r="13" spans="1:44" x14ac:dyDescent="0.3">
      <c r="A13" t="s">
        <v>56</v>
      </c>
      <c r="B13" t="s">
        <v>57</v>
      </c>
      <c r="C13" t="s">
        <v>46</v>
      </c>
      <c r="D13" t="s">
        <v>59</v>
      </c>
      <c r="E13" t="s">
        <v>161</v>
      </c>
      <c r="F13" t="s">
        <v>163</v>
      </c>
      <c r="G13" t="s">
        <v>1447</v>
      </c>
      <c r="H13">
        <v>1890</v>
      </c>
      <c r="I13" t="s">
        <v>62</v>
      </c>
      <c r="J13" t="s">
        <v>163</v>
      </c>
      <c r="K13" t="s">
        <v>53</v>
      </c>
      <c r="L13" t="s">
        <v>56</v>
      </c>
      <c r="M13" t="s">
        <v>54</v>
      </c>
      <c r="N13">
        <v>2</v>
      </c>
      <c r="O13">
        <v>-2</v>
      </c>
      <c r="P13">
        <v>0</v>
      </c>
      <c r="Q13">
        <v>36</v>
      </c>
      <c r="R13">
        <v>0</v>
      </c>
      <c r="T13">
        <v>0</v>
      </c>
      <c r="U13">
        <v>1</v>
      </c>
      <c r="V13">
        <v>1213</v>
      </c>
      <c r="W13">
        <v>2</v>
      </c>
      <c r="X13" t="s">
        <v>65</v>
      </c>
      <c r="Y13">
        <v>1</v>
      </c>
      <c r="Z13">
        <v>2</v>
      </c>
      <c r="AA13">
        <v>94</v>
      </c>
      <c r="AB13">
        <v>2</v>
      </c>
      <c r="AC13">
        <v>2</v>
      </c>
      <c r="AD13">
        <v>4</v>
      </c>
      <c r="AE13">
        <v>3886</v>
      </c>
      <c r="AF13">
        <v>4223</v>
      </c>
      <c r="AG13">
        <v>1</v>
      </c>
      <c r="AH13">
        <v>21</v>
      </c>
      <c r="AI13">
        <v>4</v>
      </c>
      <c r="AJ13">
        <v>4</v>
      </c>
      <c r="AK13">
        <v>80</v>
      </c>
      <c r="AL13">
        <v>0</v>
      </c>
      <c r="AM13">
        <v>10</v>
      </c>
      <c r="AN13">
        <v>2</v>
      </c>
      <c r="AO13">
        <v>10</v>
      </c>
      <c r="AP13">
        <v>1</v>
      </c>
      <c r="AQ13">
        <v>0</v>
      </c>
      <c r="AR13">
        <v>8</v>
      </c>
    </row>
    <row r="14" spans="1:44" x14ac:dyDescent="0.3">
      <c r="A14" t="s">
        <v>56</v>
      </c>
      <c r="B14" t="s">
        <v>45</v>
      </c>
      <c r="C14" t="s">
        <v>58</v>
      </c>
      <c r="D14" t="s">
        <v>59</v>
      </c>
      <c r="E14" t="s">
        <v>161</v>
      </c>
      <c r="F14" t="s">
        <v>49</v>
      </c>
      <c r="G14" t="s">
        <v>1428</v>
      </c>
      <c r="H14">
        <v>1744</v>
      </c>
      <c r="I14" t="s">
        <v>51</v>
      </c>
      <c r="J14" t="s">
        <v>163</v>
      </c>
      <c r="K14" t="s">
        <v>64</v>
      </c>
      <c r="L14" t="s">
        <v>56</v>
      </c>
      <c r="M14" t="s">
        <v>54</v>
      </c>
      <c r="N14">
        <v>2</v>
      </c>
      <c r="O14">
        <v>-2</v>
      </c>
      <c r="P14">
        <v>0</v>
      </c>
      <c r="Q14">
        <v>45</v>
      </c>
      <c r="R14">
        <v>0</v>
      </c>
      <c r="T14">
        <v>0</v>
      </c>
      <c r="U14">
        <v>1</v>
      </c>
      <c r="V14">
        <v>176</v>
      </c>
      <c r="W14">
        <v>4</v>
      </c>
      <c r="X14" t="s">
        <v>77</v>
      </c>
      <c r="Y14">
        <v>1</v>
      </c>
      <c r="Z14">
        <v>3</v>
      </c>
      <c r="AA14">
        <v>56</v>
      </c>
      <c r="AB14">
        <v>1</v>
      </c>
      <c r="AC14">
        <v>3</v>
      </c>
      <c r="AD14">
        <v>3</v>
      </c>
      <c r="AE14">
        <v>9756</v>
      </c>
      <c r="AF14">
        <v>6595</v>
      </c>
      <c r="AG14">
        <v>4</v>
      </c>
      <c r="AH14">
        <v>21</v>
      </c>
      <c r="AI14">
        <v>4</v>
      </c>
      <c r="AJ14">
        <v>3</v>
      </c>
      <c r="AK14">
        <v>80</v>
      </c>
      <c r="AL14">
        <v>2</v>
      </c>
      <c r="AM14">
        <v>9</v>
      </c>
      <c r="AN14">
        <v>4</v>
      </c>
      <c r="AO14">
        <v>5</v>
      </c>
      <c r="AP14">
        <v>0</v>
      </c>
      <c r="AQ14">
        <v>0</v>
      </c>
      <c r="AR14">
        <v>3</v>
      </c>
    </row>
    <row r="15" spans="1:44" x14ac:dyDescent="0.3">
      <c r="A15" t="s">
        <v>56</v>
      </c>
      <c r="B15" t="s">
        <v>45</v>
      </c>
      <c r="C15" t="s">
        <v>75</v>
      </c>
      <c r="D15" t="s">
        <v>59</v>
      </c>
      <c r="E15" t="s">
        <v>161</v>
      </c>
      <c r="F15" t="s">
        <v>163</v>
      </c>
      <c r="G15" t="s">
        <v>1397</v>
      </c>
      <c r="H15">
        <v>1973</v>
      </c>
      <c r="I15" t="s">
        <v>62</v>
      </c>
      <c r="J15" t="s">
        <v>95</v>
      </c>
      <c r="K15" t="s">
        <v>64</v>
      </c>
      <c r="L15" t="s">
        <v>44</v>
      </c>
      <c r="M15" t="s">
        <v>54</v>
      </c>
      <c r="N15">
        <v>0</v>
      </c>
      <c r="O15">
        <v>-2</v>
      </c>
      <c r="P15">
        <v>0</v>
      </c>
      <c r="Q15">
        <v>55</v>
      </c>
      <c r="R15">
        <v>0</v>
      </c>
      <c r="T15">
        <v>0</v>
      </c>
      <c r="U15">
        <v>1</v>
      </c>
      <c r="V15">
        <v>189</v>
      </c>
      <c r="W15">
        <v>26</v>
      </c>
      <c r="X15" t="s">
        <v>71</v>
      </c>
      <c r="Y15">
        <v>1</v>
      </c>
      <c r="Z15">
        <v>3</v>
      </c>
      <c r="AA15">
        <v>71</v>
      </c>
      <c r="AB15">
        <v>4</v>
      </c>
      <c r="AC15">
        <v>5</v>
      </c>
      <c r="AD15">
        <v>2</v>
      </c>
      <c r="AE15">
        <v>19636</v>
      </c>
      <c r="AF15">
        <v>25811</v>
      </c>
      <c r="AG15">
        <v>4</v>
      </c>
      <c r="AH15">
        <v>18</v>
      </c>
      <c r="AI15">
        <v>3</v>
      </c>
      <c r="AJ15">
        <v>1</v>
      </c>
      <c r="AK15">
        <v>80</v>
      </c>
      <c r="AL15">
        <v>1</v>
      </c>
      <c r="AM15">
        <v>35</v>
      </c>
      <c r="AN15">
        <v>3</v>
      </c>
      <c r="AO15">
        <v>10</v>
      </c>
      <c r="AP15">
        <v>9</v>
      </c>
      <c r="AQ15">
        <v>1</v>
      </c>
      <c r="AR15">
        <v>4</v>
      </c>
    </row>
    <row r="16" spans="1:44" x14ac:dyDescent="0.3">
      <c r="A16" t="s">
        <v>56</v>
      </c>
      <c r="B16" t="s">
        <v>57</v>
      </c>
      <c r="C16" t="s">
        <v>46</v>
      </c>
      <c r="D16" t="s">
        <v>59</v>
      </c>
      <c r="E16" t="s">
        <v>161</v>
      </c>
      <c r="F16" t="s">
        <v>66</v>
      </c>
      <c r="G16" t="s">
        <v>1385</v>
      </c>
      <c r="H16">
        <v>1972</v>
      </c>
      <c r="I16" t="s">
        <v>62</v>
      </c>
      <c r="J16" t="s">
        <v>163</v>
      </c>
      <c r="K16" t="s">
        <v>64</v>
      </c>
      <c r="L16" t="s">
        <v>44</v>
      </c>
      <c r="M16" t="s">
        <v>54</v>
      </c>
      <c r="N16">
        <v>2</v>
      </c>
      <c r="O16">
        <v>-2</v>
      </c>
      <c r="P16">
        <v>0</v>
      </c>
      <c r="Q16">
        <v>38</v>
      </c>
      <c r="R16">
        <v>0</v>
      </c>
      <c r="T16">
        <v>0</v>
      </c>
      <c r="U16">
        <v>1</v>
      </c>
      <c r="V16">
        <v>1444</v>
      </c>
      <c r="W16">
        <v>1</v>
      </c>
      <c r="X16" t="s">
        <v>71</v>
      </c>
      <c r="Y16">
        <v>1</v>
      </c>
      <c r="Z16">
        <v>4</v>
      </c>
      <c r="AA16">
        <v>88</v>
      </c>
      <c r="AB16">
        <v>3</v>
      </c>
      <c r="AC16">
        <v>1</v>
      </c>
      <c r="AD16">
        <v>2</v>
      </c>
      <c r="AE16">
        <v>2991</v>
      </c>
      <c r="AF16">
        <v>5224</v>
      </c>
      <c r="AG16">
        <v>0</v>
      </c>
      <c r="AH16">
        <v>11</v>
      </c>
      <c r="AI16">
        <v>3</v>
      </c>
      <c r="AJ16">
        <v>2</v>
      </c>
      <c r="AK16">
        <v>80</v>
      </c>
      <c r="AL16">
        <v>1</v>
      </c>
      <c r="AM16">
        <v>7</v>
      </c>
      <c r="AN16">
        <v>3</v>
      </c>
      <c r="AO16">
        <v>6</v>
      </c>
      <c r="AP16">
        <v>2</v>
      </c>
      <c r="AQ16">
        <v>1</v>
      </c>
      <c r="AR16">
        <v>2</v>
      </c>
    </row>
    <row r="17" spans="1:44" x14ac:dyDescent="0.3">
      <c r="A17" t="s">
        <v>56</v>
      </c>
      <c r="B17" t="s">
        <v>57</v>
      </c>
      <c r="C17" t="s">
        <v>46</v>
      </c>
      <c r="D17" t="s">
        <v>59</v>
      </c>
      <c r="E17" t="s">
        <v>161</v>
      </c>
      <c r="F17" t="s">
        <v>163</v>
      </c>
      <c r="G17" t="s">
        <v>1384</v>
      </c>
      <c r="H17">
        <v>1642</v>
      </c>
      <c r="I17" t="s">
        <v>62</v>
      </c>
      <c r="J17" t="s">
        <v>163</v>
      </c>
      <c r="K17" t="s">
        <v>64</v>
      </c>
      <c r="L17" t="s">
        <v>44</v>
      </c>
      <c r="M17" t="s">
        <v>54</v>
      </c>
      <c r="N17">
        <v>3</v>
      </c>
      <c r="O17">
        <v>-2</v>
      </c>
      <c r="P17">
        <v>0</v>
      </c>
      <c r="Q17">
        <v>44</v>
      </c>
      <c r="R17">
        <v>0</v>
      </c>
      <c r="T17">
        <v>0</v>
      </c>
      <c r="U17">
        <v>1</v>
      </c>
      <c r="V17">
        <v>602</v>
      </c>
      <c r="W17">
        <v>1</v>
      </c>
      <c r="X17" t="s">
        <v>134</v>
      </c>
      <c r="Y17">
        <v>1</v>
      </c>
      <c r="Z17">
        <v>1</v>
      </c>
      <c r="AA17">
        <v>37</v>
      </c>
      <c r="AB17">
        <v>3</v>
      </c>
      <c r="AC17">
        <v>2</v>
      </c>
      <c r="AD17">
        <v>4</v>
      </c>
      <c r="AE17">
        <v>5743</v>
      </c>
      <c r="AF17">
        <v>10503</v>
      </c>
      <c r="AG17">
        <v>4</v>
      </c>
      <c r="AH17">
        <v>11</v>
      </c>
      <c r="AI17">
        <v>3</v>
      </c>
      <c r="AJ17">
        <v>3</v>
      </c>
      <c r="AK17">
        <v>80</v>
      </c>
      <c r="AL17">
        <v>0</v>
      </c>
      <c r="AM17">
        <v>14</v>
      </c>
      <c r="AN17">
        <v>3</v>
      </c>
      <c r="AO17">
        <v>10</v>
      </c>
      <c r="AP17">
        <v>7</v>
      </c>
      <c r="AQ17">
        <v>0</v>
      </c>
      <c r="AR17">
        <v>2</v>
      </c>
    </row>
    <row r="18" spans="1:44" x14ac:dyDescent="0.3">
      <c r="A18" t="s">
        <v>56</v>
      </c>
      <c r="B18" t="s">
        <v>45</v>
      </c>
      <c r="C18" t="s">
        <v>46</v>
      </c>
      <c r="D18" t="s">
        <v>59</v>
      </c>
      <c r="E18" t="s">
        <v>161</v>
      </c>
      <c r="F18" t="s">
        <v>49</v>
      </c>
      <c r="G18" t="s">
        <v>1354</v>
      </c>
      <c r="H18">
        <v>2040</v>
      </c>
      <c r="I18" t="s">
        <v>51</v>
      </c>
      <c r="J18" t="s">
        <v>163</v>
      </c>
      <c r="K18" t="s">
        <v>53</v>
      </c>
      <c r="L18" t="s">
        <v>44</v>
      </c>
      <c r="M18" t="s">
        <v>54</v>
      </c>
      <c r="N18">
        <v>2</v>
      </c>
      <c r="O18">
        <v>-2</v>
      </c>
      <c r="P18">
        <v>0</v>
      </c>
      <c r="Q18">
        <v>35</v>
      </c>
      <c r="R18">
        <v>0</v>
      </c>
      <c r="T18">
        <v>0</v>
      </c>
      <c r="U18">
        <v>1</v>
      </c>
      <c r="V18">
        <v>1146</v>
      </c>
      <c r="W18">
        <v>26</v>
      </c>
      <c r="X18" t="s">
        <v>71</v>
      </c>
      <c r="Y18">
        <v>1</v>
      </c>
      <c r="Z18">
        <v>3</v>
      </c>
      <c r="AA18">
        <v>31</v>
      </c>
      <c r="AB18">
        <v>3</v>
      </c>
      <c r="AC18">
        <v>3</v>
      </c>
      <c r="AD18">
        <v>4</v>
      </c>
      <c r="AE18">
        <v>8837</v>
      </c>
      <c r="AF18">
        <v>16642</v>
      </c>
      <c r="AG18">
        <v>1</v>
      </c>
      <c r="AH18">
        <v>16</v>
      </c>
      <c r="AI18">
        <v>3</v>
      </c>
      <c r="AJ18">
        <v>3</v>
      </c>
      <c r="AK18">
        <v>80</v>
      </c>
      <c r="AL18">
        <v>0</v>
      </c>
      <c r="AM18">
        <v>9</v>
      </c>
      <c r="AN18">
        <v>3</v>
      </c>
      <c r="AO18">
        <v>9</v>
      </c>
      <c r="AP18">
        <v>0</v>
      </c>
      <c r="AQ18">
        <v>1</v>
      </c>
      <c r="AR18">
        <v>7</v>
      </c>
    </row>
    <row r="19" spans="1:44" x14ac:dyDescent="0.3">
      <c r="A19" t="s">
        <v>56</v>
      </c>
      <c r="B19" t="s">
        <v>45</v>
      </c>
      <c r="C19" t="s">
        <v>46</v>
      </c>
      <c r="D19" t="s">
        <v>59</v>
      </c>
      <c r="E19" t="s">
        <v>161</v>
      </c>
      <c r="F19" t="s">
        <v>49</v>
      </c>
      <c r="G19" t="s">
        <v>1353</v>
      </c>
      <c r="H19">
        <v>1683</v>
      </c>
      <c r="I19" t="s">
        <v>51</v>
      </c>
      <c r="J19" t="s">
        <v>163</v>
      </c>
      <c r="K19" t="s">
        <v>79</v>
      </c>
      <c r="L19" t="s">
        <v>44</v>
      </c>
      <c r="M19" t="s">
        <v>54</v>
      </c>
      <c r="N19">
        <v>2</v>
      </c>
      <c r="O19">
        <v>-2</v>
      </c>
      <c r="P19">
        <v>0</v>
      </c>
      <c r="Q19">
        <v>44</v>
      </c>
      <c r="R19">
        <v>0</v>
      </c>
      <c r="T19">
        <v>0</v>
      </c>
      <c r="U19">
        <v>1</v>
      </c>
      <c r="V19">
        <v>528</v>
      </c>
      <c r="W19">
        <v>1</v>
      </c>
      <c r="X19" t="s">
        <v>77</v>
      </c>
      <c r="Y19">
        <v>1</v>
      </c>
      <c r="Z19">
        <v>3</v>
      </c>
      <c r="AA19">
        <v>44</v>
      </c>
      <c r="AB19">
        <v>3</v>
      </c>
      <c r="AC19">
        <v>1</v>
      </c>
      <c r="AD19">
        <v>4</v>
      </c>
      <c r="AE19">
        <v>3195</v>
      </c>
      <c r="AF19">
        <v>4167</v>
      </c>
      <c r="AG19">
        <v>4</v>
      </c>
      <c r="AH19">
        <v>18</v>
      </c>
      <c r="AI19">
        <v>3</v>
      </c>
      <c r="AJ19">
        <v>1</v>
      </c>
      <c r="AK19">
        <v>80</v>
      </c>
      <c r="AL19">
        <v>3</v>
      </c>
      <c r="AM19">
        <v>8</v>
      </c>
      <c r="AN19">
        <v>3</v>
      </c>
      <c r="AO19">
        <v>2</v>
      </c>
      <c r="AP19">
        <v>2</v>
      </c>
      <c r="AQ19">
        <v>2</v>
      </c>
      <c r="AR19">
        <v>2</v>
      </c>
    </row>
    <row r="20" spans="1:44" x14ac:dyDescent="0.3">
      <c r="A20" t="s">
        <v>56</v>
      </c>
      <c r="B20" t="s">
        <v>45</v>
      </c>
      <c r="C20" t="s">
        <v>46</v>
      </c>
      <c r="D20" t="s">
        <v>59</v>
      </c>
      <c r="E20" t="s">
        <v>161</v>
      </c>
      <c r="F20" t="s">
        <v>49</v>
      </c>
      <c r="G20" t="s">
        <v>1229</v>
      </c>
      <c r="H20">
        <v>1778</v>
      </c>
      <c r="I20" t="s">
        <v>62</v>
      </c>
      <c r="J20" t="s">
        <v>163</v>
      </c>
      <c r="K20" t="s">
        <v>53</v>
      </c>
      <c r="L20" t="s">
        <v>56</v>
      </c>
      <c r="M20" t="s">
        <v>54</v>
      </c>
      <c r="N20">
        <v>5</v>
      </c>
      <c r="O20">
        <v>-2</v>
      </c>
      <c r="P20">
        <v>0</v>
      </c>
      <c r="Q20">
        <v>43</v>
      </c>
      <c r="R20">
        <v>0</v>
      </c>
      <c r="T20">
        <v>0</v>
      </c>
      <c r="U20">
        <v>1</v>
      </c>
      <c r="V20">
        <v>244</v>
      </c>
      <c r="W20">
        <v>2</v>
      </c>
      <c r="X20" t="s">
        <v>77</v>
      </c>
      <c r="Y20">
        <v>1</v>
      </c>
      <c r="Z20">
        <v>2</v>
      </c>
      <c r="AA20">
        <v>97</v>
      </c>
      <c r="AB20">
        <v>3</v>
      </c>
      <c r="AC20">
        <v>1</v>
      </c>
      <c r="AD20">
        <v>4</v>
      </c>
      <c r="AE20">
        <v>3539</v>
      </c>
      <c r="AF20">
        <v>5033</v>
      </c>
      <c r="AG20">
        <v>0</v>
      </c>
      <c r="AH20">
        <v>13</v>
      </c>
      <c r="AI20">
        <v>3</v>
      </c>
      <c r="AJ20">
        <v>2</v>
      </c>
      <c r="AK20">
        <v>80</v>
      </c>
      <c r="AL20">
        <v>0</v>
      </c>
      <c r="AM20">
        <v>10</v>
      </c>
      <c r="AN20">
        <v>3</v>
      </c>
      <c r="AO20">
        <v>9</v>
      </c>
      <c r="AP20">
        <v>7</v>
      </c>
      <c r="AQ20">
        <v>1</v>
      </c>
      <c r="AR20">
        <v>8</v>
      </c>
    </row>
    <row r="21" spans="1:44" x14ac:dyDescent="0.3">
      <c r="A21" t="s">
        <v>56</v>
      </c>
      <c r="B21" t="s">
        <v>45</v>
      </c>
      <c r="C21" t="s">
        <v>69</v>
      </c>
      <c r="D21" t="s">
        <v>59</v>
      </c>
      <c r="E21" t="s">
        <v>161</v>
      </c>
      <c r="F21" t="s">
        <v>66</v>
      </c>
      <c r="G21" t="s">
        <v>1228</v>
      </c>
      <c r="H21">
        <v>1419</v>
      </c>
      <c r="I21" t="s">
        <v>62</v>
      </c>
      <c r="J21" t="s">
        <v>163</v>
      </c>
      <c r="K21" t="s">
        <v>53</v>
      </c>
      <c r="L21" t="s">
        <v>56</v>
      </c>
      <c r="M21" t="s">
        <v>54</v>
      </c>
      <c r="N21">
        <v>3</v>
      </c>
      <c r="O21">
        <v>-2</v>
      </c>
      <c r="P21">
        <v>0</v>
      </c>
      <c r="Q21">
        <v>29</v>
      </c>
      <c r="R21">
        <v>0</v>
      </c>
      <c r="T21">
        <v>0</v>
      </c>
      <c r="U21">
        <v>1</v>
      </c>
      <c r="V21">
        <v>332</v>
      </c>
      <c r="W21">
        <v>17</v>
      </c>
      <c r="X21" t="s">
        <v>77</v>
      </c>
      <c r="Y21">
        <v>1</v>
      </c>
      <c r="Z21">
        <v>2</v>
      </c>
      <c r="AA21">
        <v>51</v>
      </c>
      <c r="AB21">
        <v>2</v>
      </c>
      <c r="AC21">
        <v>3</v>
      </c>
      <c r="AD21">
        <v>3</v>
      </c>
      <c r="AE21">
        <v>7988</v>
      </c>
      <c r="AF21">
        <v>9769</v>
      </c>
      <c r="AG21">
        <v>1</v>
      </c>
      <c r="AH21">
        <v>13</v>
      </c>
      <c r="AI21">
        <v>3</v>
      </c>
      <c r="AJ21">
        <v>1</v>
      </c>
      <c r="AK21">
        <v>80</v>
      </c>
      <c r="AL21">
        <v>0</v>
      </c>
      <c r="AM21">
        <v>10</v>
      </c>
      <c r="AN21">
        <v>2</v>
      </c>
      <c r="AO21">
        <v>10</v>
      </c>
      <c r="AP21">
        <v>9</v>
      </c>
      <c r="AQ21">
        <v>0</v>
      </c>
      <c r="AR21">
        <v>9</v>
      </c>
    </row>
    <row r="22" spans="1:44" x14ac:dyDescent="0.3">
      <c r="A22" t="s">
        <v>56</v>
      </c>
      <c r="B22" t="s">
        <v>45</v>
      </c>
      <c r="C22" t="s">
        <v>69</v>
      </c>
      <c r="D22" t="s">
        <v>59</v>
      </c>
      <c r="E22" t="s">
        <v>161</v>
      </c>
      <c r="F22" t="s">
        <v>72</v>
      </c>
      <c r="G22" t="s">
        <v>1227</v>
      </c>
      <c r="H22">
        <v>1865</v>
      </c>
      <c r="I22" t="s">
        <v>62</v>
      </c>
      <c r="J22" t="s">
        <v>163</v>
      </c>
      <c r="K22" t="s">
        <v>64</v>
      </c>
      <c r="L22" t="s">
        <v>56</v>
      </c>
      <c r="M22" t="s">
        <v>54</v>
      </c>
      <c r="N22">
        <v>3</v>
      </c>
      <c r="O22">
        <v>-2</v>
      </c>
      <c r="P22">
        <v>0</v>
      </c>
      <c r="Q22">
        <v>29</v>
      </c>
      <c r="R22">
        <v>0</v>
      </c>
      <c r="T22">
        <v>0</v>
      </c>
      <c r="U22">
        <v>1</v>
      </c>
      <c r="V22">
        <v>352</v>
      </c>
      <c r="W22">
        <v>6</v>
      </c>
      <c r="X22" t="s">
        <v>65</v>
      </c>
      <c r="Y22">
        <v>1</v>
      </c>
      <c r="Z22">
        <v>4</v>
      </c>
      <c r="AA22">
        <v>87</v>
      </c>
      <c r="AB22">
        <v>2</v>
      </c>
      <c r="AC22">
        <v>1</v>
      </c>
      <c r="AD22">
        <v>2</v>
      </c>
      <c r="AE22">
        <v>2804</v>
      </c>
      <c r="AF22">
        <v>15434</v>
      </c>
      <c r="AG22">
        <v>1</v>
      </c>
      <c r="AH22">
        <v>11</v>
      </c>
      <c r="AI22">
        <v>3</v>
      </c>
      <c r="AJ22">
        <v>4</v>
      </c>
      <c r="AK22">
        <v>80</v>
      </c>
      <c r="AL22">
        <v>0</v>
      </c>
      <c r="AM22">
        <v>1</v>
      </c>
      <c r="AN22">
        <v>3</v>
      </c>
      <c r="AO22">
        <v>1</v>
      </c>
      <c r="AP22">
        <v>0</v>
      </c>
      <c r="AQ22">
        <v>0</v>
      </c>
      <c r="AR22">
        <v>0</v>
      </c>
    </row>
    <row r="23" spans="1:44" x14ac:dyDescent="0.3">
      <c r="A23" t="s">
        <v>56</v>
      </c>
      <c r="B23" t="s">
        <v>45</v>
      </c>
      <c r="C23" t="s">
        <v>46</v>
      </c>
      <c r="D23" t="s">
        <v>59</v>
      </c>
      <c r="E23" t="s">
        <v>161</v>
      </c>
      <c r="F23" t="s">
        <v>66</v>
      </c>
      <c r="G23" t="s">
        <v>1226</v>
      </c>
      <c r="H23">
        <v>1794</v>
      </c>
      <c r="I23" t="s">
        <v>62</v>
      </c>
      <c r="J23" t="s">
        <v>163</v>
      </c>
      <c r="K23" t="s">
        <v>79</v>
      </c>
      <c r="L23" t="s">
        <v>56</v>
      </c>
      <c r="M23" t="s">
        <v>54</v>
      </c>
      <c r="N23">
        <v>4</v>
      </c>
      <c r="O23">
        <v>-2</v>
      </c>
      <c r="P23">
        <v>0</v>
      </c>
      <c r="Q23">
        <v>37</v>
      </c>
      <c r="R23">
        <v>0</v>
      </c>
      <c r="T23">
        <v>0</v>
      </c>
      <c r="U23">
        <v>1</v>
      </c>
      <c r="V23">
        <v>1239</v>
      </c>
      <c r="W23">
        <v>8</v>
      </c>
      <c r="X23" t="s">
        <v>55</v>
      </c>
      <c r="Y23">
        <v>1</v>
      </c>
      <c r="Z23">
        <v>3</v>
      </c>
      <c r="AA23">
        <v>89</v>
      </c>
      <c r="AB23">
        <v>3</v>
      </c>
      <c r="AC23">
        <v>2</v>
      </c>
      <c r="AD23">
        <v>2</v>
      </c>
      <c r="AE23">
        <v>4071</v>
      </c>
      <c r="AF23">
        <v>12832</v>
      </c>
      <c r="AG23">
        <v>2</v>
      </c>
      <c r="AH23">
        <v>13</v>
      </c>
      <c r="AI23">
        <v>3</v>
      </c>
      <c r="AJ23">
        <v>3</v>
      </c>
      <c r="AK23">
        <v>80</v>
      </c>
      <c r="AL23">
        <v>0</v>
      </c>
      <c r="AM23">
        <v>19</v>
      </c>
      <c r="AN23">
        <v>2</v>
      </c>
      <c r="AO23">
        <v>10</v>
      </c>
      <c r="AP23">
        <v>0</v>
      </c>
      <c r="AQ23">
        <v>4</v>
      </c>
      <c r="AR23">
        <v>7</v>
      </c>
    </row>
    <row r="24" spans="1:44" x14ac:dyDescent="0.3">
      <c r="A24" t="s">
        <v>56</v>
      </c>
      <c r="B24" t="s">
        <v>57</v>
      </c>
      <c r="C24" t="s">
        <v>92</v>
      </c>
      <c r="D24" t="s">
        <v>59</v>
      </c>
      <c r="E24" t="s">
        <v>161</v>
      </c>
      <c r="F24" t="s">
        <v>72</v>
      </c>
      <c r="G24" t="s">
        <v>1202</v>
      </c>
      <c r="H24">
        <v>1746</v>
      </c>
      <c r="I24" t="s">
        <v>62</v>
      </c>
      <c r="J24" t="s">
        <v>163</v>
      </c>
      <c r="K24" t="s">
        <v>64</v>
      </c>
      <c r="L24" t="s">
        <v>56</v>
      </c>
      <c r="M24" t="s">
        <v>54</v>
      </c>
      <c r="N24">
        <v>2</v>
      </c>
      <c r="O24">
        <v>-2</v>
      </c>
      <c r="P24">
        <v>0</v>
      </c>
      <c r="Q24">
        <v>24</v>
      </c>
      <c r="R24">
        <v>0</v>
      </c>
      <c r="T24">
        <v>0</v>
      </c>
      <c r="U24">
        <v>1</v>
      </c>
      <c r="V24">
        <v>897</v>
      </c>
      <c r="W24">
        <v>10</v>
      </c>
      <c r="X24" t="s">
        <v>77</v>
      </c>
      <c r="Y24">
        <v>1</v>
      </c>
      <c r="Z24">
        <v>1</v>
      </c>
      <c r="AA24">
        <v>59</v>
      </c>
      <c r="AB24">
        <v>3</v>
      </c>
      <c r="AC24">
        <v>1</v>
      </c>
      <c r="AD24">
        <v>4</v>
      </c>
      <c r="AE24">
        <v>2145</v>
      </c>
      <c r="AF24">
        <v>2097</v>
      </c>
      <c r="AG24">
        <v>0</v>
      </c>
      <c r="AH24">
        <v>14</v>
      </c>
      <c r="AI24">
        <v>3</v>
      </c>
      <c r="AJ24">
        <v>4</v>
      </c>
      <c r="AK24">
        <v>80</v>
      </c>
      <c r="AL24">
        <v>1</v>
      </c>
      <c r="AM24">
        <v>3</v>
      </c>
      <c r="AN24">
        <v>3</v>
      </c>
      <c r="AO24">
        <v>2</v>
      </c>
      <c r="AP24">
        <v>2</v>
      </c>
      <c r="AQ24">
        <v>2</v>
      </c>
      <c r="AR24">
        <v>1</v>
      </c>
    </row>
    <row r="25" spans="1:44" x14ac:dyDescent="0.3">
      <c r="A25" t="s">
        <v>56</v>
      </c>
      <c r="B25" t="s">
        <v>57</v>
      </c>
      <c r="C25" t="s">
        <v>46</v>
      </c>
      <c r="D25" t="s">
        <v>59</v>
      </c>
      <c r="E25" t="s">
        <v>161</v>
      </c>
      <c r="F25" t="s">
        <v>163</v>
      </c>
      <c r="G25" t="s">
        <v>1201</v>
      </c>
      <c r="H25">
        <v>1563</v>
      </c>
      <c r="I25" t="s">
        <v>62</v>
      </c>
      <c r="J25" t="s">
        <v>163</v>
      </c>
      <c r="K25" t="s">
        <v>64</v>
      </c>
      <c r="L25" t="s">
        <v>56</v>
      </c>
      <c r="M25" t="s">
        <v>54</v>
      </c>
      <c r="N25">
        <v>2</v>
      </c>
      <c r="O25">
        <v>-2</v>
      </c>
      <c r="P25">
        <v>0</v>
      </c>
      <c r="Q25">
        <v>38</v>
      </c>
      <c r="R25">
        <v>0</v>
      </c>
      <c r="T25">
        <v>0</v>
      </c>
      <c r="U25">
        <v>1</v>
      </c>
      <c r="V25">
        <v>888</v>
      </c>
      <c r="W25">
        <v>10</v>
      </c>
      <c r="X25" t="s">
        <v>71</v>
      </c>
      <c r="Y25">
        <v>1</v>
      </c>
      <c r="Z25">
        <v>3</v>
      </c>
      <c r="AA25">
        <v>71</v>
      </c>
      <c r="AB25">
        <v>3</v>
      </c>
      <c r="AC25">
        <v>2</v>
      </c>
      <c r="AD25">
        <v>3</v>
      </c>
      <c r="AE25">
        <v>6077</v>
      </c>
      <c r="AF25">
        <v>14814</v>
      </c>
      <c r="AG25">
        <v>3</v>
      </c>
      <c r="AH25">
        <v>11</v>
      </c>
      <c r="AI25">
        <v>3</v>
      </c>
      <c r="AJ25">
        <v>3</v>
      </c>
      <c r="AK25">
        <v>80</v>
      </c>
      <c r="AL25">
        <v>0</v>
      </c>
      <c r="AM25">
        <v>10</v>
      </c>
      <c r="AN25">
        <v>3</v>
      </c>
      <c r="AO25">
        <v>6</v>
      </c>
      <c r="AP25">
        <v>3</v>
      </c>
      <c r="AQ25">
        <v>1</v>
      </c>
      <c r="AR25">
        <v>2</v>
      </c>
    </row>
    <row r="26" spans="1:44" x14ac:dyDescent="0.3">
      <c r="A26" t="s">
        <v>56</v>
      </c>
      <c r="B26" t="s">
        <v>91</v>
      </c>
      <c r="C26" t="s">
        <v>46</v>
      </c>
      <c r="D26" t="s">
        <v>59</v>
      </c>
      <c r="E26" t="s">
        <v>161</v>
      </c>
      <c r="F26" t="s">
        <v>163</v>
      </c>
      <c r="G26" t="s">
        <v>1180</v>
      </c>
      <c r="H26">
        <v>1722</v>
      </c>
      <c r="I26" t="s">
        <v>62</v>
      </c>
      <c r="J26" t="s">
        <v>163</v>
      </c>
      <c r="K26" t="s">
        <v>64</v>
      </c>
      <c r="L26" t="s">
        <v>56</v>
      </c>
      <c r="M26" t="s">
        <v>54</v>
      </c>
      <c r="N26">
        <v>4</v>
      </c>
      <c r="O26">
        <v>-2</v>
      </c>
      <c r="P26">
        <v>0</v>
      </c>
      <c r="Q26">
        <v>41</v>
      </c>
      <c r="R26">
        <v>0</v>
      </c>
      <c r="T26">
        <v>0</v>
      </c>
      <c r="U26">
        <v>1</v>
      </c>
      <c r="V26">
        <v>552</v>
      </c>
      <c r="W26">
        <v>4</v>
      </c>
      <c r="X26" t="s">
        <v>77</v>
      </c>
      <c r="Y26">
        <v>1</v>
      </c>
      <c r="Z26">
        <v>3</v>
      </c>
      <c r="AA26">
        <v>60</v>
      </c>
      <c r="AB26">
        <v>1</v>
      </c>
      <c r="AC26">
        <v>2</v>
      </c>
      <c r="AD26">
        <v>2</v>
      </c>
      <c r="AE26">
        <v>6430</v>
      </c>
      <c r="AF26">
        <v>20794</v>
      </c>
      <c r="AG26">
        <v>6</v>
      </c>
      <c r="AH26">
        <v>19</v>
      </c>
      <c r="AI26">
        <v>3</v>
      </c>
      <c r="AJ26">
        <v>2</v>
      </c>
      <c r="AK26">
        <v>80</v>
      </c>
      <c r="AL26">
        <v>1</v>
      </c>
      <c r="AM26">
        <v>10</v>
      </c>
      <c r="AN26">
        <v>3</v>
      </c>
      <c r="AO26">
        <v>3</v>
      </c>
      <c r="AP26">
        <v>2</v>
      </c>
      <c r="AQ26">
        <v>1</v>
      </c>
      <c r="AR26">
        <v>2</v>
      </c>
    </row>
    <row r="27" spans="1:44" x14ac:dyDescent="0.3">
      <c r="A27" t="s">
        <v>56</v>
      </c>
      <c r="B27" t="s">
        <v>91</v>
      </c>
      <c r="C27" t="s">
        <v>46</v>
      </c>
      <c r="D27" t="s">
        <v>59</v>
      </c>
      <c r="E27" t="s">
        <v>161</v>
      </c>
      <c r="F27" t="s">
        <v>163</v>
      </c>
      <c r="G27" t="s">
        <v>1179</v>
      </c>
      <c r="H27">
        <v>1805</v>
      </c>
      <c r="I27" t="s">
        <v>62</v>
      </c>
      <c r="J27" t="s">
        <v>163</v>
      </c>
      <c r="K27" t="s">
        <v>79</v>
      </c>
      <c r="L27" t="s">
        <v>56</v>
      </c>
      <c r="M27" t="s">
        <v>54</v>
      </c>
      <c r="N27">
        <v>3</v>
      </c>
      <c r="O27">
        <v>-2</v>
      </c>
      <c r="P27">
        <v>0</v>
      </c>
      <c r="Q27">
        <v>38</v>
      </c>
      <c r="R27">
        <v>0</v>
      </c>
      <c r="T27">
        <v>0</v>
      </c>
      <c r="U27">
        <v>1</v>
      </c>
      <c r="V27">
        <v>1336</v>
      </c>
      <c r="W27">
        <v>2</v>
      </c>
      <c r="X27" t="s">
        <v>77</v>
      </c>
      <c r="Y27">
        <v>1</v>
      </c>
      <c r="Z27">
        <v>1</v>
      </c>
      <c r="AA27">
        <v>100</v>
      </c>
      <c r="AB27">
        <v>3</v>
      </c>
      <c r="AC27">
        <v>1</v>
      </c>
      <c r="AD27">
        <v>2</v>
      </c>
      <c r="AE27">
        <v>2592</v>
      </c>
      <c r="AF27">
        <v>7129</v>
      </c>
      <c r="AG27">
        <v>5</v>
      </c>
      <c r="AH27">
        <v>13</v>
      </c>
      <c r="AI27">
        <v>3</v>
      </c>
      <c r="AJ27">
        <v>4</v>
      </c>
      <c r="AK27">
        <v>80</v>
      </c>
      <c r="AL27">
        <v>3</v>
      </c>
      <c r="AM27">
        <v>13</v>
      </c>
      <c r="AN27">
        <v>3</v>
      </c>
      <c r="AO27">
        <v>11</v>
      </c>
      <c r="AP27">
        <v>10</v>
      </c>
      <c r="AQ27">
        <v>3</v>
      </c>
      <c r="AR27">
        <v>8</v>
      </c>
    </row>
    <row r="28" spans="1:44" x14ac:dyDescent="0.3">
      <c r="A28" t="s">
        <v>56</v>
      </c>
      <c r="B28" t="s">
        <v>91</v>
      </c>
      <c r="C28" t="s">
        <v>69</v>
      </c>
      <c r="D28" t="s">
        <v>59</v>
      </c>
      <c r="E28" t="s">
        <v>161</v>
      </c>
      <c r="F28" t="s">
        <v>49</v>
      </c>
      <c r="G28" t="s">
        <v>1178</v>
      </c>
      <c r="H28">
        <v>1858</v>
      </c>
      <c r="I28" t="s">
        <v>62</v>
      </c>
      <c r="J28" t="s">
        <v>163</v>
      </c>
      <c r="K28" t="s">
        <v>79</v>
      </c>
      <c r="L28" t="s">
        <v>56</v>
      </c>
      <c r="M28" t="s">
        <v>54</v>
      </c>
      <c r="N28">
        <v>2</v>
      </c>
      <c r="O28">
        <v>-2</v>
      </c>
      <c r="P28">
        <v>0</v>
      </c>
      <c r="Q28">
        <v>28</v>
      </c>
      <c r="R28">
        <v>0</v>
      </c>
      <c r="T28">
        <v>0</v>
      </c>
      <c r="U28">
        <v>1</v>
      </c>
      <c r="V28">
        <v>280</v>
      </c>
      <c r="W28">
        <v>1</v>
      </c>
      <c r="X28" t="s">
        <v>55</v>
      </c>
      <c r="Y28">
        <v>1</v>
      </c>
      <c r="Z28">
        <v>3</v>
      </c>
      <c r="AA28">
        <v>43</v>
      </c>
      <c r="AB28">
        <v>3</v>
      </c>
      <c r="AC28">
        <v>1</v>
      </c>
      <c r="AD28">
        <v>4</v>
      </c>
      <c r="AE28">
        <v>2706</v>
      </c>
      <c r="AF28">
        <v>10494</v>
      </c>
      <c r="AG28">
        <v>1</v>
      </c>
      <c r="AH28">
        <v>15</v>
      </c>
      <c r="AI28">
        <v>3</v>
      </c>
      <c r="AJ28">
        <v>2</v>
      </c>
      <c r="AK28">
        <v>80</v>
      </c>
      <c r="AL28">
        <v>1</v>
      </c>
      <c r="AM28">
        <v>3</v>
      </c>
      <c r="AN28">
        <v>3</v>
      </c>
      <c r="AO28">
        <v>3</v>
      </c>
      <c r="AP28">
        <v>2</v>
      </c>
      <c r="AQ28">
        <v>2</v>
      </c>
      <c r="AR28">
        <v>2</v>
      </c>
    </row>
    <row r="29" spans="1:44" x14ac:dyDescent="0.3">
      <c r="A29" t="s">
        <v>56</v>
      </c>
      <c r="B29" t="s">
        <v>45</v>
      </c>
      <c r="C29" t="s">
        <v>69</v>
      </c>
      <c r="D29" t="s">
        <v>59</v>
      </c>
      <c r="E29" t="s">
        <v>161</v>
      </c>
      <c r="F29" t="s">
        <v>72</v>
      </c>
      <c r="G29" t="s">
        <v>1105</v>
      </c>
      <c r="H29">
        <v>1461</v>
      </c>
      <c r="I29" t="s">
        <v>51</v>
      </c>
      <c r="J29" t="s">
        <v>163</v>
      </c>
      <c r="K29" t="s">
        <v>53</v>
      </c>
      <c r="L29" t="s">
        <v>56</v>
      </c>
      <c r="M29" t="s">
        <v>54</v>
      </c>
      <c r="N29">
        <v>3</v>
      </c>
      <c r="O29">
        <v>-2</v>
      </c>
      <c r="P29">
        <v>0</v>
      </c>
      <c r="Q29">
        <v>31</v>
      </c>
      <c r="R29">
        <v>0</v>
      </c>
      <c r="T29">
        <v>0</v>
      </c>
      <c r="U29">
        <v>1</v>
      </c>
      <c r="V29">
        <v>1398</v>
      </c>
      <c r="W29">
        <v>8</v>
      </c>
      <c r="X29" t="s">
        <v>55</v>
      </c>
      <c r="Y29">
        <v>1</v>
      </c>
      <c r="Z29">
        <v>4</v>
      </c>
      <c r="AA29">
        <v>96</v>
      </c>
      <c r="AB29">
        <v>4</v>
      </c>
      <c r="AC29">
        <v>1</v>
      </c>
      <c r="AD29">
        <v>2</v>
      </c>
      <c r="AE29">
        <v>2109</v>
      </c>
      <c r="AF29">
        <v>24609</v>
      </c>
      <c r="AG29">
        <v>9</v>
      </c>
      <c r="AH29">
        <v>18</v>
      </c>
      <c r="AI29">
        <v>3</v>
      </c>
      <c r="AJ29">
        <v>4</v>
      </c>
      <c r="AK29">
        <v>80</v>
      </c>
      <c r="AL29">
        <v>0</v>
      </c>
      <c r="AM29">
        <v>8</v>
      </c>
      <c r="AN29">
        <v>3</v>
      </c>
      <c r="AO29">
        <v>3</v>
      </c>
      <c r="AP29">
        <v>2</v>
      </c>
      <c r="AQ29">
        <v>0</v>
      </c>
      <c r="AR29">
        <v>2</v>
      </c>
    </row>
    <row r="30" spans="1:44" x14ac:dyDescent="0.3">
      <c r="A30" t="s">
        <v>56</v>
      </c>
      <c r="B30" t="s">
        <v>45</v>
      </c>
      <c r="C30" t="s">
        <v>58</v>
      </c>
      <c r="D30" t="s">
        <v>59</v>
      </c>
      <c r="E30" t="s">
        <v>161</v>
      </c>
      <c r="F30" t="s">
        <v>49</v>
      </c>
      <c r="G30" t="s">
        <v>1104</v>
      </c>
      <c r="H30">
        <v>1625</v>
      </c>
      <c r="I30" t="s">
        <v>51</v>
      </c>
      <c r="J30" t="s">
        <v>95</v>
      </c>
      <c r="K30" t="s">
        <v>64</v>
      </c>
      <c r="L30" t="s">
        <v>56</v>
      </c>
      <c r="M30" t="s">
        <v>54</v>
      </c>
      <c r="N30">
        <v>2</v>
      </c>
      <c r="O30">
        <v>-2</v>
      </c>
      <c r="P30">
        <v>0</v>
      </c>
      <c r="Q30">
        <v>47</v>
      </c>
      <c r="R30">
        <v>0</v>
      </c>
      <c r="T30">
        <v>0</v>
      </c>
      <c r="U30">
        <v>1</v>
      </c>
      <c r="V30">
        <v>1176</v>
      </c>
      <c r="W30">
        <v>26</v>
      </c>
      <c r="X30" t="s">
        <v>71</v>
      </c>
      <c r="Y30">
        <v>1</v>
      </c>
      <c r="Z30">
        <v>4</v>
      </c>
      <c r="AA30">
        <v>98</v>
      </c>
      <c r="AB30">
        <v>3</v>
      </c>
      <c r="AC30">
        <v>5</v>
      </c>
      <c r="AD30">
        <v>3</v>
      </c>
      <c r="AE30">
        <v>19658</v>
      </c>
      <c r="AF30">
        <v>5220</v>
      </c>
      <c r="AG30">
        <v>3</v>
      </c>
      <c r="AH30">
        <v>11</v>
      </c>
      <c r="AI30">
        <v>3</v>
      </c>
      <c r="AJ30">
        <v>3</v>
      </c>
      <c r="AK30">
        <v>80</v>
      </c>
      <c r="AL30">
        <v>1</v>
      </c>
      <c r="AM30">
        <v>27</v>
      </c>
      <c r="AN30">
        <v>3</v>
      </c>
      <c r="AO30">
        <v>5</v>
      </c>
      <c r="AP30">
        <v>2</v>
      </c>
      <c r="AQ30">
        <v>1</v>
      </c>
      <c r="AR30">
        <v>0</v>
      </c>
    </row>
    <row r="31" spans="1:44" x14ac:dyDescent="0.3">
      <c r="A31" t="s">
        <v>56</v>
      </c>
      <c r="B31" t="s">
        <v>45</v>
      </c>
      <c r="C31" t="s">
        <v>69</v>
      </c>
      <c r="D31" t="s">
        <v>59</v>
      </c>
      <c r="E31" t="s">
        <v>161</v>
      </c>
      <c r="F31" t="s">
        <v>163</v>
      </c>
      <c r="G31" t="s">
        <v>1103</v>
      </c>
      <c r="H31">
        <v>1987</v>
      </c>
      <c r="I31" t="s">
        <v>51</v>
      </c>
      <c r="J31" t="s">
        <v>163</v>
      </c>
      <c r="K31" t="s">
        <v>64</v>
      </c>
      <c r="L31" t="s">
        <v>56</v>
      </c>
      <c r="M31" t="s">
        <v>54</v>
      </c>
      <c r="N31">
        <v>3</v>
      </c>
      <c r="O31">
        <v>-2</v>
      </c>
      <c r="P31">
        <v>0</v>
      </c>
      <c r="Q31">
        <v>25</v>
      </c>
      <c r="R31">
        <v>0</v>
      </c>
      <c r="T31">
        <v>0</v>
      </c>
      <c r="U31">
        <v>1</v>
      </c>
      <c r="V31">
        <v>309</v>
      </c>
      <c r="W31">
        <v>2</v>
      </c>
      <c r="X31" t="s">
        <v>77</v>
      </c>
      <c r="Y31">
        <v>1</v>
      </c>
      <c r="Z31">
        <v>3</v>
      </c>
      <c r="AA31">
        <v>82</v>
      </c>
      <c r="AB31">
        <v>3</v>
      </c>
      <c r="AC31">
        <v>1</v>
      </c>
      <c r="AD31">
        <v>2</v>
      </c>
      <c r="AE31">
        <v>2187</v>
      </c>
      <c r="AF31">
        <v>19655</v>
      </c>
      <c r="AG31">
        <v>4</v>
      </c>
      <c r="AH31">
        <v>14</v>
      </c>
      <c r="AI31">
        <v>3</v>
      </c>
      <c r="AJ31">
        <v>3</v>
      </c>
      <c r="AK31">
        <v>80</v>
      </c>
      <c r="AL31">
        <v>0</v>
      </c>
      <c r="AM31">
        <v>6</v>
      </c>
      <c r="AN31">
        <v>3</v>
      </c>
      <c r="AO31">
        <v>2</v>
      </c>
      <c r="AP31">
        <v>0</v>
      </c>
      <c r="AQ31">
        <v>1</v>
      </c>
      <c r="AR31">
        <v>2</v>
      </c>
    </row>
    <row r="32" spans="1:44" x14ac:dyDescent="0.3">
      <c r="A32" t="s">
        <v>56</v>
      </c>
      <c r="B32" t="s">
        <v>45</v>
      </c>
      <c r="C32" t="s">
        <v>46</v>
      </c>
      <c r="D32" t="s">
        <v>59</v>
      </c>
      <c r="E32" t="s">
        <v>161</v>
      </c>
      <c r="F32" t="s">
        <v>163</v>
      </c>
      <c r="G32" t="s">
        <v>1083</v>
      </c>
      <c r="H32">
        <v>1408</v>
      </c>
      <c r="I32" t="s">
        <v>51</v>
      </c>
      <c r="J32" t="s">
        <v>95</v>
      </c>
      <c r="K32" t="s">
        <v>64</v>
      </c>
      <c r="L32" t="s">
        <v>56</v>
      </c>
      <c r="M32" t="s">
        <v>54</v>
      </c>
      <c r="N32">
        <v>5</v>
      </c>
      <c r="O32">
        <v>-2</v>
      </c>
      <c r="P32">
        <v>0</v>
      </c>
      <c r="Q32">
        <v>42</v>
      </c>
      <c r="R32">
        <v>0</v>
      </c>
      <c r="T32">
        <v>0</v>
      </c>
      <c r="U32">
        <v>1</v>
      </c>
      <c r="V32">
        <v>1147</v>
      </c>
      <c r="W32">
        <v>10</v>
      </c>
      <c r="X32" t="s">
        <v>77</v>
      </c>
      <c r="Y32">
        <v>1</v>
      </c>
      <c r="Z32">
        <v>3</v>
      </c>
      <c r="AA32">
        <v>31</v>
      </c>
      <c r="AB32">
        <v>3</v>
      </c>
      <c r="AC32">
        <v>4</v>
      </c>
      <c r="AD32">
        <v>3</v>
      </c>
      <c r="AE32">
        <v>16799</v>
      </c>
      <c r="AF32">
        <v>16616</v>
      </c>
      <c r="AG32">
        <v>0</v>
      </c>
      <c r="AH32">
        <v>14</v>
      </c>
      <c r="AI32">
        <v>3</v>
      </c>
      <c r="AJ32">
        <v>3</v>
      </c>
      <c r="AK32">
        <v>80</v>
      </c>
      <c r="AL32">
        <v>1</v>
      </c>
      <c r="AM32">
        <v>21</v>
      </c>
      <c r="AN32">
        <v>3</v>
      </c>
      <c r="AO32">
        <v>20</v>
      </c>
      <c r="AP32">
        <v>7</v>
      </c>
      <c r="AQ32">
        <v>0</v>
      </c>
      <c r="AR32">
        <v>9</v>
      </c>
    </row>
    <row r="33" spans="1:44" x14ac:dyDescent="0.3">
      <c r="A33" t="s">
        <v>56</v>
      </c>
      <c r="B33" t="s">
        <v>45</v>
      </c>
      <c r="C33" t="s">
        <v>58</v>
      </c>
      <c r="D33" t="s">
        <v>59</v>
      </c>
      <c r="E33" t="s">
        <v>161</v>
      </c>
      <c r="F33" t="s">
        <v>49</v>
      </c>
      <c r="G33" t="s">
        <v>1046</v>
      </c>
      <c r="H33">
        <v>1352</v>
      </c>
      <c r="I33" t="s">
        <v>62</v>
      </c>
      <c r="J33" t="s">
        <v>95</v>
      </c>
      <c r="K33" t="s">
        <v>79</v>
      </c>
      <c r="L33" t="s">
        <v>44</v>
      </c>
      <c r="M33" t="s">
        <v>54</v>
      </c>
      <c r="N33">
        <v>2</v>
      </c>
      <c r="O33">
        <v>-2</v>
      </c>
      <c r="P33">
        <v>0</v>
      </c>
      <c r="Q33">
        <v>51</v>
      </c>
      <c r="R33">
        <v>0</v>
      </c>
      <c r="T33">
        <v>0</v>
      </c>
      <c r="U33">
        <v>1</v>
      </c>
      <c r="V33">
        <v>770</v>
      </c>
      <c r="W33">
        <v>5</v>
      </c>
      <c r="X33" t="s">
        <v>77</v>
      </c>
      <c r="Y33">
        <v>1</v>
      </c>
      <c r="Z33">
        <v>3</v>
      </c>
      <c r="AA33">
        <v>84</v>
      </c>
      <c r="AB33">
        <v>3</v>
      </c>
      <c r="AC33">
        <v>4</v>
      </c>
      <c r="AD33">
        <v>2</v>
      </c>
      <c r="AE33">
        <v>14026</v>
      </c>
      <c r="AF33">
        <v>17588</v>
      </c>
      <c r="AG33">
        <v>1</v>
      </c>
      <c r="AH33">
        <v>11</v>
      </c>
      <c r="AI33">
        <v>3</v>
      </c>
      <c r="AJ33">
        <v>2</v>
      </c>
      <c r="AK33">
        <v>80</v>
      </c>
      <c r="AL33">
        <v>1</v>
      </c>
      <c r="AM33">
        <v>33</v>
      </c>
      <c r="AN33">
        <v>3</v>
      </c>
      <c r="AO33">
        <v>33</v>
      </c>
      <c r="AP33">
        <v>9</v>
      </c>
      <c r="AQ33">
        <v>0</v>
      </c>
      <c r="AR33">
        <v>10</v>
      </c>
    </row>
    <row r="34" spans="1:44" x14ac:dyDescent="0.3">
      <c r="A34" t="s">
        <v>56</v>
      </c>
      <c r="B34" t="s">
        <v>45</v>
      </c>
      <c r="C34" t="s">
        <v>75</v>
      </c>
      <c r="D34" t="s">
        <v>59</v>
      </c>
      <c r="E34" t="s">
        <v>161</v>
      </c>
      <c r="F34" t="s">
        <v>49</v>
      </c>
      <c r="G34" t="s">
        <v>1040</v>
      </c>
      <c r="H34">
        <v>1338</v>
      </c>
      <c r="I34" t="s">
        <v>62</v>
      </c>
      <c r="J34" t="s">
        <v>95</v>
      </c>
      <c r="K34" t="s">
        <v>53</v>
      </c>
      <c r="L34" t="s">
        <v>56</v>
      </c>
      <c r="M34" t="s">
        <v>54</v>
      </c>
      <c r="N34">
        <v>4</v>
      </c>
      <c r="O34">
        <v>-2</v>
      </c>
      <c r="P34">
        <v>0</v>
      </c>
      <c r="Q34">
        <v>56</v>
      </c>
      <c r="R34">
        <v>0</v>
      </c>
      <c r="T34">
        <v>0</v>
      </c>
      <c r="U34">
        <v>1</v>
      </c>
      <c r="V34">
        <v>206</v>
      </c>
      <c r="W34">
        <v>8</v>
      </c>
      <c r="X34" t="s">
        <v>71</v>
      </c>
      <c r="Y34">
        <v>1</v>
      </c>
      <c r="Z34">
        <v>4</v>
      </c>
      <c r="AA34">
        <v>99</v>
      </c>
      <c r="AB34">
        <v>3</v>
      </c>
      <c r="AC34">
        <v>5</v>
      </c>
      <c r="AD34">
        <v>2</v>
      </c>
      <c r="AE34">
        <v>19717</v>
      </c>
      <c r="AF34">
        <v>4022</v>
      </c>
      <c r="AG34">
        <v>6</v>
      </c>
      <c r="AH34">
        <v>14</v>
      </c>
      <c r="AI34">
        <v>3</v>
      </c>
      <c r="AJ34">
        <v>1</v>
      </c>
      <c r="AK34">
        <v>80</v>
      </c>
      <c r="AL34">
        <v>0</v>
      </c>
      <c r="AM34">
        <v>36</v>
      </c>
      <c r="AN34">
        <v>3</v>
      </c>
      <c r="AO34">
        <v>7</v>
      </c>
      <c r="AP34">
        <v>3</v>
      </c>
      <c r="AQ34">
        <v>7</v>
      </c>
      <c r="AR34">
        <v>7</v>
      </c>
    </row>
    <row r="35" spans="1:44" x14ac:dyDescent="0.3">
      <c r="A35" t="s">
        <v>56</v>
      </c>
      <c r="B35" t="s">
        <v>45</v>
      </c>
      <c r="C35" t="s">
        <v>58</v>
      </c>
      <c r="D35" t="s">
        <v>59</v>
      </c>
      <c r="E35" t="s">
        <v>161</v>
      </c>
      <c r="F35" t="s">
        <v>49</v>
      </c>
      <c r="G35" t="s">
        <v>1027</v>
      </c>
      <c r="H35">
        <v>1314</v>
      </c>
      <c r="I35" t="s">
        <v>51</v>
      </c>
      <c r="J35" t="s">
        <v>163</v>
      </c>
      <c r="K35" t="s">
        <v>53</v>
      </c>
      <c r="L35" t="s">
        <v>56</v>
      </c>
      <c r="M35" t="s">
        <v>54</v>
      </c>
      <c r="N35">
        <v>3</v>
      </c>
      <c r="O35">
        <v>-2</v>
      </c>
      <c r="P35">
        <v>0</v>
      </c>
      <c r="Q35">
        <v>46</v>
      </c>
      <c r="R35">
        <v>0</v>
      </c>
      <c r="T35">
        <v>0</v>
      </c>
      <c r="U35">
        <v>1</v>
      </c>
      <c r="V35">
        <v>991</v>
      </c>
      <c r="W35">
        <v>1</v>
      </c>
      <c r="X35" t="s">
        <v>55</v>
      </c>
      <c r="Y35">
        <v>1</v>
      </c>
      <c r="Z35">
        <v>4</v>
      </c>
      <c r="AA35">
        <v>44</v>
      </c>
      <c r="AB35">
        <v>3</v>
      </c>
      <c r="AC35">
        <v>1</v>
      </c>
      <c r="AD35">
        <v>3</v>
      </c>
      <c r="AE35">
        <v>3423</v>
      </c>
      <c r="AF35">
        <v>22957</v>
      </c>
      <c r="AG35">
        <v>6</v>
      </c>
      <c r="AH35">
        <v>12</v>
      </c>
      <c r="AI35">
        <v>3</v>
      </c>
      <c r="AJ35">
        <v>3</v>
      </c>
      <c r="AK35">
        <v>80</v>
      </c>
      <c r="AL35">
        <v>0</v>
      </c>
      <c r="AM35">
        <v>10</v>
      </c>
      <c r="AN35">
        <v>4</v>
      </c>
      <c r="AO35">
        <v>7</v>
      </c>
      <c r="AP35">
        <v>6</v>
      </c>
      <c r="AQ35">
        <v>5</v>
      </c>
      <c r="AR35">
        <v>7</v>
      </c>
    </row>
    <row r="36" spans="1:44" x14ac:dyDescent="0.3">
      <c r="A36" t="s">
        <v>56</v>
      </c>
      <c r="B36" t="s">
        <v>57</v>
      </c>
      <c r="C36" t="s">
        <v>69</v>
      </c>
      <c r="D36" t="s">
        <v>59</v>
      </c>
      <c r="E36" t="s">
        <v>161</v>
      </c>
      <c r="F36" t="s">
        <v>49</v>
      </c>
      <c r="G36" t="s">
        <v>1007</v>
      </c>
      <c r="H36">
        <v>1289</v>
      </c>
      <c r="I36" t="s">
        <v>62</v>
      </c>
      <c r="J36" t="s">
        <v>163</v>
      </c>
      <c r="K36" t="s">
        <v>64</v>
      </c>
      <c r="L36" t="s">
        <v>56</v>
      </c>
      <c r="M36" t="s">
        <v>54</v>
      </c>
      <c r="N36">
        <v>5</v>
      </c>
      <c r="O36">
        <v>-2</v>
      </c>
      <c r="P36">
        <v>0</v>
      </c>
      <c r="Q36">
        <v>34</v>
      </c>
      <c r="R36">
        <v>0</v>
      </c>
      <c r="T36">
        <v>0</v>
      </c>
      <c r="U36">
        <v>1</v>
      </c>
      <c r="V36">
        <v>648</v>
      </c>
      <c r="W36">
        <v>11</v>
      </c>
      <c r="X36" t="s">
        <v>77</v>
      </c>
      <c r="Y36">
        <v>1</v>
      </c>
      <c r="Z36">
        <v>3</v>
      </c>
      <c r="AA36">
        <v>56</v>
      </c>
      <c r="AB36">
        <v>2</v>
      </c>
      <c r="AC36">
        <v>2</v>
      </c>
      <c r="AD36">
        <v>2</v>
      </c>
      <c r="AE36">
        <v>4490</v>
      </c>
      <c r="AF36">
        <v>21833</v>
      </c>
      <c r="AG36">
        <v>4</v>
      </c>
      <c r="AH36">
        <v>11</v>
      </c>
      <c r="AI36">
        <v>3</v>
      </c>
      <c r="AJ36">
        <v>4</v>
      </c>
      <c r="AK36">
        <v>80</v>
      </c>
      <c r="AL36">
        <v>2</v>
      </c>
      <c r="AM36">
        <v>14</v>
      </c>
      <c r="AN36">
        <v>4</v>
      </c>
      <c r="AO36">
        <v>10</v>
      </c>
      <c r="AP36">
        <v>9</v>
      </c>
      <c r="AQ36">
        <v>1</v>
      </c>
      <c r="AR36">
        <v>8</v>
      </c>
    </row>
    <row r="37" spans="1:44" x14ac:dyDescent="0.3">
      <c r="A37" t="s">
        <v>56</v>
      </c>
      <c r="B37" t="s">
        <v>91</v>
      </c>
      <c r="C37" t="s">
        <v>46</v>
      </c>
      <c r="D37" t="s">
        <v>59</v>
      </c>
      <c r="E37" t="s">
        <v>161</v>
      </c>
      <c r="F37" t="s">
        <v>72</v>
      </c>
      <c r="G37" t="s">
        <v>962</v>
      </c>
      <c r="H37">
        <v>1231</v>
      </c>
      <c r="I37" t="s">
        <v>62</v>
      </c>
      <c r="J37" t="s">
        <v>163</v>
      </c>
      <c r="K37" t="s">
        <v>64</v>
      </c>
      <c r="L37" t="s">
        <v>56</v>
      </c>
      <c r="M37" t="s">
        <v>54</v>
      </c>
      <c r="N37">
        <v>3</v>
      </c>
      <c r="O37">
        <v>-2</v>
      </c>
      <c r="P37">
        <v>0</v>
      </c>
      <c r="Q37">
        <v>42</v>
      </c>
      <c r="R37">
        <v>0</v>
      </c>
      <c r="T37">
        <v>0</v>
      </c>
      <c r="U37">
        <v>1</v>
      </c>
      <c r="V37">
        <v>179</v>
      </c>
      <c r="W37">
        <v>2</v>
      </c>
      <c r="X37" t="s">
        <v>134</v>
      </c>
      <c r="Y37">
        <v>1</v>
      </c>
      <c r="Z37">
        <v>4</v>
      </c>
      <c r="AA37">
        <v>79</v>
      </c>
      <c r="AB37">
        <v>4</v>
      </c>
      <c r="AC37">
        <v>2</v>
      </c>
      <c r="AD37">
        <v>3</v>
      </c>
      <c r="AE37">
        <v>6272</v>
      </c>
      <c r="AF37">
        <v>12858</v>
      </c>
      <c r="AG37">
        <v>7</v>
      </c>
      <c r="AH37">
        <v>16</v>
      </c>
      <c r="AI37">
        <v>3</v>
      </c>
      <c r="AJ37">
        <v>1</v>
      </c>
      <c r="AK37">
        <v>80</v>
      </c>
      <c r="AL37">
        <v>1</v>
      </c>
      <c r="AM37">
        <v>10</v>
      </c>
      <c r="AN37">
        <v>4</v>
      </c>
      <c r="AO37">
        <v>4</v>
      </c>
      <c r="AP37">
        <v>3</v>
      </c>
      <c r="AQ37">
        <v>0</v>
      </c>
      <c r="AR37">
        <v>3</v>
      </c>
    </row>
    <row r="38" spans="1:44" x14ac:dyDescent="0.3">
      <c r="A38" t="s">
        <v>56</v>
      </c>
      <c r="B38" t="s">
        <v>45</v>
      </c>
      <c r="C38" t="s">
        <v>69</v>
      </c>
      <c r="D38" t="s">
        <v>59</v>
      </c>
      <c r="E38" t="s">
        <v>161</v>
      </c>
      <c r="F38" t="s">
        <v>163</v>
      </c>
      <c r="G38" t="s">
        <v>947</v>
      </c>
      <c r="H38">
        <v>1207</v>
      </c>
      <c r="I38" t="s">
        <v>62</v>
      </c>
      <c r="J38" t="s">
        <v>163</v>
      </c>
      <c r="K38" t="s">
        <v>64</v>
      </c>
      <c r="L38" t="s">
        <v>56</v>
      </c>
      <c r="M38" t="s">
        <v>54</v>
      </c>
      <c r="N38">
        <v>2</v>
      </c>
      <c r="O38">
        <v>-2</v>
      </c>
      <c r="P38">
        <v>0</v>
      </c>
      <c r="Q38">
        <v>33</v>
      </c>
      <c r="R38">
        <v>0</v>
      </c>
      <c r="T38">
        <v>0</v>
      </c>
      <c r="U38">
        <v>1</v>
      </c>
      <c r="V38">
        <v>147</v>
      </c>
      <c r="W38">
        <v>2</v>
      </c>
      <c r="X38" t="s">
        <v>77</v>
      </c>
      <c r="Y38">
        <v>1</v>
      </c>
      <c r="Z38">
        <v>2</v>
      </c>
      <c r="AA38">
        <v>99</v>
      </c>
      <c r="AB38">
        <v>3</v>
      </c>
      <c r="AC38">
        <v>1</v>
      </c>
      <c r="AD38">
        <v>3</v>
      </c>
      <c r="AE38">
        <v>3600</v>
      </c>
      <c r="AF38">
        <v>8429</v>
      </c>
      <c r="AG38">
        <v>1</v>
      </c>
      <c r="AH38">
        <v>13</v>
      </c>
      <c r="AI38">
        <v>3</v>
      </c>
      <c r="AJ38">
        <v>4</v>
      </c>
      <c r="AK38">
        <v>80</v>
      </c>
      <c r="AL38">
        <v>1</v>
      </c>
      <c r="AM38">
        <v>5</v>
      </c>
      <c r="AN38">
        <v>3</v>
      </c>
      <c r="AO38">
        <v>5</v>
      </c>
      <c r="AP38">
        <v>4</v>
      </c>
      <c r="AQ38">
        <v>1</v>
      </c>
      <c r="AR38">
        <v>4</v>
      </c>
    </row>
    <row r="39" spans="1:44" x14ac:dyDescent="0.3">
      <c r="A39" t="s">
        <v>56</v>
      </c>
      <c r="B39" t="s">
        <v>45</v>
      </c>
      <c r="C39" t="s">
        <v>46</v>
      </c>
      <c r="D39" t="s">
        <v>59</v>
      </c>
      <c r="E39" t="s">
        <v>161</v>
      </c>
      <c r="F39" t="s">
        <v>113</v>
      </c>
      <c r="G39" t="s">
        <v>919</v>
      </c>
      <c r="H39">
        <v>1164</v>
      </c>
      <c r="I39" t="s">
        <v>62</v>
      </c>
      <c r="J39" t="s">
        <v>163</v>
      </c>
      <c r="K39" t="s">
        <v>53</v>
      </c>
      <c r="L39" t="s">
        <v>56</v>
      </c>
      <c r="M39" t="s">
        <v>54</v>
      </c>
      <c r="N39">
        <v>2</v>
      </c>
      <c r="O39">
        <v>-2</v>
      </c>
      <c r="P39">
        <v>0</v>
      </c>
      <c r="Q39">
        <v>35</v>
      </c>
      <c r="R39">
        <v>0</v>
      </c>
      <c r="T39">
        <v>0</v>
      </c>
      <c r="U39">
        <v>1</v>
      </c>
      <c r="V39">
        <v>528</v>
      </c>
      <c r="W39">
        <v>8</v>
      </c>
      <c r="X39" t="s">
        <v>71</v>
      </c>
      <c r="Y39">
        <v>1</v>
      </c>
      <c r="Z39">
        <v>4</v>
      </c>
      <c r="AA39">
        <v>100</v>
      </c>
      <c r="AB39">
        <v>3</v>
      </c>
      <c r="AC39">
        <v>1</v>
      </c>
      <c r="AD39">
        <v>4</v>
      </c>
      <c r="AE39">
        <v>4323</v>
      </c>
      <c r="AF39">
        <v>7108</v>
      </c>
      <c r="AG39">
        <v>1</v>
      </c>
      <c r="AH39">
        <v>17</v>
      </c>
      <c r="AI39">
        <v>3</v>
      </c>
      <c r="AJ39">
        <v>2</v>
      </c>
      <c r="AK39">
        <v>80</v>
      </c>
      <c r="AL39">
        <v>0</v>
      </c>
      <c r="AM39">
        <v>6</v>
      </c>
      <c r="AN39">
        <v>1</v>
      </c>
      <c r="AO39">
        <v>5</v>
      </c>
      <c r="AP39">
        <v>4</v>
      </c>
      <c r="AQ39">
        <v>1</v>
      </c>
      <c r="AR39">
        <v>4</v>
      </c>
    </row>
    <row r="40" spans="1:44" x14ac:dyDescent="0.3">
      <c r="A40" t="s">
        <v>56</v>
      </c>
      <c r="B40" t="s">
        <v>45</v>
      </c>
      <c r="C40" t="s">
        <v>46</v>
      </c>
      <c r="D40" t="s">
        <v>59</v>
      </c>
      <c r="E40" t="s">
        <v>161</v>
      </c>
      <c r="F40" t="s">
        <v>163</v>
      </c>
      <c r="G40" t="s">
        <v>910</v>
      </c>
      <c r="H40">
        <v>1152</v>
      </c>
      <c r="I40" t="s">
        <v>62</v>
      </c>
      <c r="J40" t="s">
        <v>163</v>
      </c>
      <c r="K40" t="s">
        <v>64</v>
      </c>
      <c r="L40" t="s">
        <v>56</v>
      </c>
      <c r="M40" t="s">
        <v>54</v>
      </c>
      <c r="N40">
        <v>2</v>
      </c>
      <c r="O40">
        <v>-2</v>
      </c>
      <c r="P40">
        <v>0</v>
      </c>
      <c r="Q40">
        <v>38</v>
      </c>
      <c r="R40">
        <v>0</v>
      </c>
      <c r="T40">
        <v>0</v>
      </c>
      <c r="U40">
        <v>1</v>
      </c>
      <c r="V40">
        <v>433</v>
      </c>
      <c r="W40">
        <v>1</v>
      </c>
      <c r="X40" t="s">
        <v>77</v>
      </c>
      <c r="Y40">
        <v>1</v>
      </c>
      <c r="Z40">
        <v>3</v>
      </c>
      <c r="AA40">
        <v>37</v>
      </c>
      <c r="AB40">
        <v>4</v>
      </c>
      <c r="AC40">
        <v>1</v>
      </c>
      <c r="AD40">
        <v>3</v>
      </c>
      <c r="AE40">
        <v>2844</v>
      </c>
      <c r="AF40">
        <v>6004</v>
      </c>
      <c r="AG40">
        <v>1</v>
      </c>
      <c r="AH40">
        <v>13</v>
      </c>
      <c r="AI40">
        <v>3</v>
      </c>
      <c r="AJ40">
        <v>4</v>
      </c>
      <c r="AK40">
        <v>80</v>
      </c>
      <c r="AL40">
        <v>1</v>
      </c>
      <c r="AM40">
        <v>7</v>
      </c>
      <c r="AN40">
        <v>4</v>
      </c>
      <c r="AO40">
        <v>7</v>
      </c>
      <c r="AP40">
        <v>6</v>
      </c>
      <c r="AQ40">
        <v>5</v>
      </c>
      <c r="AR40">
        <v>0</v>
      </c>
    </row>
    <row r="41" spans="1:44" x14ac:dyDescent="0.3">
      <c r="A41" t="s">
        <v>44</v>
      </c>
      <c r="B41" t="s">
        <v>45</v>
      </c>
      <c r="C41" t="s">
        <v>46</v>
      </c>
      <c r="D41" t="s">
        <v>47</v>
      </c>
      <c r="E41" t="s">
        <v>161</v>
      </c>
      <c r="F41" t="s">
        <v>72</v>
      </c>
      <c r="G41" t="s">
        <v>873</v>
      </c>
      <c r="H41">
        <v>1098</v>
      </c>
      <c r="I41" t="s">
        <v>62</v>
      </c>
      <c r="J41" t="s">
        <v>163</v>
      </c>
      <c r="K41" t="s">
        <v>64</v>
      </c>
      <c r="L41" t="s">
        <v>56</v>
      </c>
      <c r="M41" t="s">
        <v>54</v>
      </c>
      <c r="N41">
        <v>1</v>
      </c>
      <c r="O41">
        <v>-2</v>
      </c>
      <c r="P41">
        <v>0</v>
      </c>
      <c r="Q41">
        <v>44</v>
      </c>
      <c r="R41">
        <v>1</v>
      </c>
      <c r="S41">
        <v>1</v>
      </c>
      <c r="T41">
        <v>1</v>
      </c>
      <c r="U41">
        <v>0</v>
      </c>
      <c r="V41">
        <v>1376</v>
      </c>
      <c r="W41">
        <v>1</v>
      </c>
      <c r="X41" t="s">
        <v>55</v>
      </c>
      <c r="Y41">
        <v>1</v>
      </c>
      <c r="Z41">
        <v>2</v>
      </c>
      <c r="AA41">
        <v>91</v>
      </c>
      <c r="AB41">
        <v>2</v>
      </c>
      <c r="AC41">
        <v>3</v>
      </c>
      <c r="AD41">
        <v>3</v>
      </c>
      <c r="AE41">
        <v>10482</v>
      </c>
      <c r="AF41">
        <v>2326</v>
      </c>
      <c r="AG41">
        <v>9</v>
      </c>
      <c r="AH41">
        <v>14</v>
      </c>
      <c r="AI41">
        <v>3</v>
      </c>
      <c r="AJ41">
        <v>4</v>
      </c>
      <c r="AK41">
        <v>80</v>
      </c>
      <c r="AL41">
        <v>1</v>
      </c>
      <c r="AM41">
        <v>24</v>
      </c>
      <c r="AN41">
        <v>3</v>
      </c>
      <c r="AO41">
        <v>20</v>
      </c>
      <c r="AP41">
        <v>6</v>
      </c>
      <c r="AQ41">
        <v>3</v>
      </c>
      <c r="AR41">
        <v>6</v>
      </c>
    </row>
    <row r="42" spans="1:44" x14ac:dyDescent="0.3">
      <c r="A42" t="s">
        <v>56</v>
      </c>
      <c r="B42" t="s">
        <v>45</v>
      </c>
      <c r="C42" t="s">
        <v>58</v>
      </c>
      <c r="D42" t="s">
        <v>59</v>
      </c>
      <c r="E42" t="s">
        <v>161</v>
      </c>
      <c r="F42" t="s">
        <v>72</v>
      </c>
      <c r="G42" t="s">
        <v>843</v>
      </c>
      <c r="H42">
        <v>1049</v>
      </c>
      <c r="I42" t="s">
        <v>62</v>
      </c>
      <c r="J42" t="s">
        <v>163</v>
      </c>
      <c r="K42" t="s">
        <v>53</v>
      </c>
      <c r="L42" t="s">
        <v>56</v>
      </c>
      <c r="M42" t="s">
        <v>54</v>
      </c>
      <c r="N42">
        <v>3</v>
      </c>
      <c r="O42">
        <v>-2</v>
      </c>
      <c r="P42">
        <v>0</v>
      </c>
      <c r="Q42">
        <v>45</v>
      </c>
      <c r="R42">
        <v>0</v>
      </c>
      <c r="T42">
        <v>0</v>
      </c>
      <c r="U42">
        <v>1</v>
      </c>
      <c r="V42">
        <v>788</v>
      </c>
      <c r="W42">
        <v>24</v>
      </c>
      <c r="X42" t="s">
        <v>71</v>
      </c>
      <c r="Y42">
        <v>1</v>
      </c>
      <c r="Z42">
        <v>2</v>
      </c>
      <c r="AA42">
        <v>36</v>
      </c>
      <c r="AB42">
        <v>3</v>
      </c>
      <c r="AC42">
        <v>1</v>
      </c>
      <c r="AD42">
        <v>3</v>
      </c>
      <c r="AE42">
        <v>2177</v>
      </c>
      <c r="AF42">
        <v>8318</v>
      </c>
      <c r="AG42">
        <v>1</v>
      </c>
      <c r="AH42">
        <v>16</v>
      </c>
      <c r="AI42">
        <v>3</v>
      </c>
      <c r="AJ42">
        <v>1</v>
      </c>
      <c r="AK42">
        <v>80</v>
      </c>
      <c r="AL42">
        <v>0</v>
      </c>
      <c r="AM42">
        <v>6</v>
      </c>
      <c r="AN42">
        <v>3</v>
      </c>
      <c r="AO42">
        <v>6</v>
      </c>
      <c r="AP42">
        <v>3</v>
      </c>
      <c r="AQ42">
        <v>0</v>
      </c>
      <c r="AR42">
        <v>4</v>
      </c>
    </row>
    <row r="43" spans="1:44" x14ac:dyDescent="0.3">
      <c r="A43" t="s">
        <v>56</v>
      </c>
      <c r="B43" t="s">
        <v>45</v>
      </c>
      <c r="C43" t="s">
        <v>69</v>
      </c>
      <c r="D43" t="s">
        <v>59</v>
      </c>
      <c r="E43" t="s">
        <v>161</v>
      </c>
      <c r="F43" t="s">
        <v>163</v>
      </c>
      <c r="G43" t="s">
        <v>739</v>
      </c>
      <c r="H43">
        <v>910</v>
      </c>
      <c r="I43" t="s">
        <v>62</v>
      </c>
      <c r="J43" t="s">
        <v>163</v>
      </c>
      <c r="K43" t="s">
        <v>79</v>
      </c>
      <c r="L43" t="s">
        <v>44</v>
      </c>
      <c r="M43" t="s">
        <v>54</v>
      </c>
      <c r="N43">
        <v>4</v>
      </c>
      <c r="O43">
        <v>-2</v>
      </c>
      <c r="P43">
        <v>0</v>
      </c>
      <c r="Q43">
        <v>33</v>
      </c>
      <c r="R43">
        <v>0</v>
      </c>
      <c r="T43">
        <v>0</v>
      </c>
      <c r="U43">
        <v>1</v>
      </c>
      <c r="V43">
        <v>1075</v>
      </c>
      <c r="W43">
        <v>3</v>
      </c>
      <c r="X43" t="s">
        <v>55</v>
      </c>
      <c r="Y43">
        <v>1</v>
      </c>
      <c r="Z43">
        <v>4</v>
      </c>
      <c r="AA43">
        <v>57</v>
      </c>
      <c r="AB43">
        <v>3</v>
      </c>
      <c r="AC43">
        <v>1</v>
      </c>
      <c r="AD43">
        <v>3</v>
      </c>
      <c r="AE43">
        <v>2277</v>
      </c>
      <c r="AF43">
        <v>22650</v>
      </c>
      <c r="AG43">
        <v>3</v>
      </c>
      <c r="AH43">
        <v>11</v>
      </c>
      <c r="AI43">
        <v>3</v>
      </c>
      <c r="AJ43">
        <v>3</v>
      </c>
      <c r="AK43">
        <v>80</v>
      </c>
      <c r="AL43">
        <v>1</v>
      </c>
      <c r="AM43">
        <v>7</v>
      </c>
      <c r="AN43">
        <v>4</v>
      </c>
      <c r="AO43">
        <v>4</v>
      </c>
      <c r="AP43">
        <v>3</v>
      </c>
      <c r="AQ43">
        <v>0</v>
      </c>
      <c r="AR43">
        <v>3</v>
      </c>
    </row>
    <row r="44" spans="1:44" x14ac:dyDescent="0.3">
      <c r="A44" t="s">
        <v>56</v>
      </c>
      <c r="B44" t="s">
        <v>45</v>
      </c>
      <c r="C44" t="s">
        <v>46</v>
      </c>
      <c r="D44" t="s">
        <v>59</v>
      </c>
      <c r="E44" t="s">
        <v>161</v>
      </c>
      <c r="F44" t="s">
        <v>49</v>
      </c>
      <c r="G44" t="s">
        <v>738</v>
      </c>
      <c r="H44">
        <v>909</v>
      </c>
      <c r="I44" t="s">
        <v>51</v>
      </c>
      <c r="J44" t="s">
        <v>163</v>
      </c>
      <c r="K44" t="s">
        <v>64</v>
      </c>
      <c r="L44" t="s">
        <v>56</v>
      </c>
      <c r="M44" t="s">
        <v>54</v>
      </c>
      <c r="N44">
        <v>2</v>
      </c>
      <c r="O44">
        <v>-2</v>
      </c>
      <c r="P44">
        <v>0</v>
      </c>
      <c r="Q44">
        <v>39</v>
      </c>
      <c r="R44">
        <v>0</v>
      </c>
      <c r="T44">
        <v>0</v>
      </c>
      <c r="U44">
        <v>1</v>
      </c>
      <c r="V44">
        <v>1383</v>
      </c>
      <c r="W44">
        <v>2</v>
      </c>
      <c r="X44" t="s">
        <v>77</v>
      </c>
      <c r="Y44">
        <v>1</v>
      </c>
      <c r="Z44">
        <v>4</v>
      </c>
      <c r="AA44">
        <v>42</v>
      </c>
      <c r="AB44">
        <v>2</v>
      </c>
      <c r="AC44">
        <v>2</v>
      </c>
      <c r="AD44">
        <v>1</v>
      </c>
      <c r="AE44">
        <v>5204</v>
      </c>
      <c r="AF44">
        <v>7790</v>
      </c>
      <c r="AG44">
        <v>8</v>
      </c>
      <c r="AH44">
        <v>11</v>
      </c>
      <c r="AI44">
        <v>3</v>
      </c>
      <c r="AJ44">
        <v>3</v>
      </c>
      <c r="AK44">
        <v>80</v>
      </c>
      <c r="AL44">
        <v>2</v>
      </c>
      <c r="AM44">
        <v>13</v>
      </c>
      <c r="AN44">
        <v>3</v>
      </c>
      <c r="AO44">
        <v>5</v>
      </c>
      <c r="AP44">
        <v>4</v>
      </c>
      <c r="AQ44">
        <v>0</v>
      </c>
      <c r="AR44">
        <v>4</v>
      </c>
    </row>
    <row r="45" spans="1:44" x14ac:dyDescent="0.3">
      <c r="A45" t="s">
        <v>56</v>
      </c>
      <c r="B45" t="s">
        <v>45</v>
      </c>
      <c r="C45" t="s">
        <v>46</v>
      </c>
      <c r="D45" t="s">
        <v>59</v>
      </c>
      <c r="E45" t="s">
        <v>161</v>
      </c>
      <c r="F45" t="s">
        <v>49</v>
      </c>
      <c r="G45" t="s">
        <v>717</v>
      </c>
      <c r="H45">
        <v>878</v>
      </c>
      <c r="I45" t="s">
        <v>62</v>
      </c>
      <c r="J45" t="s">
        <v>163</v>
      </c>
      <c r="K45" t="s">
        <v>64</v>
      </c>
      <c r="L45" t="s">
        <v>56</v>
      </c>
      <c r="M45" t="s">
        <v>54</v>
      </c>
      <c r="N45">
        <v>3</v>
      </c>
      <c r="O45">
        <v>-2</v>
      </c>
      <c r="P45">
        <v>0</v>
      </c>
      <c r="Q45">
        <v>36</v>
      </c>
      <c r="R45">
        <v>0</v>
      </c>
      <c r="T45">
        <v>0</v>
      </c>
      <c r="U45">
        <v>1</v>
      </c>
      <c r="V45">
        <v>1278</v>
      </c>
      <c r="W45">
        <v>8</v>
      </c>
      <c r="X45" t="s">
        <v>77</v>
      </c>
      <c r="Y45">
        <v>1</v>
      </c>
      <c r="Z45">
        <v>1</v>
      </c>
      <c r="AA45">
        <v>77</v>
      </c>
      <c r="AB45">
        <v>2</v>
      </c>
      <c r="AC45">
        <v>1</v>
      </c>
      <c r="AD45">
        <v>1</v>
      </c>
      <c r="AE45">
        <v>2342</v>
      </c>
      <c r="AF45">
        <v>8635</v>
      </c>
      <c r="AG45">
        <v>0</v>
      </c>
      <c r="AH45">
        <v>21</v>
      </c>
      <c r="AI45">
        <v>4</v>
      </c>
      <c r="AJ45">
        <v>3</v>
      </c>
      <c r="AK45">
        <v>80</v>
      </c>
      <c r="AL45">
        <v>0</v>
      </c>
      <c r="AM45">
        <v>6</v>
      </c>
      <c r="AN45">
        <v>3</v>
      </c>
      <c r="AO45">
        <v>5</v>
      </c>
      <c r="AP45">
        <v>4</v>
      </c>
      <c r="AQ45">
        <v>0</v>
      </c>
      <c r="AR45">
        <v>3</v>
      </c>
    </row>
    <row r="46" spans="1:44" x14ac:dyDescent="0.3">
      <c r="A46" t="s">
        <v>56</v>
      </c>
      <c r="B46" t="s">
        <v>45</v>
      </c>
      <c r="C46" t="s">
        <v>69</v>
      </c>
      <c r="D46" t="s">
        <v>59</v>
      </c>
      <c r="E46" t="s">
        <v>161</v>
      </c>
      <c r="F46" t="s">
        <v>72</v>
      </c>
      <c r="G46" t="s">
        <v>713</v>
      </c>
      <c r="H46">
        <v>869</v>
      </c>
      <c r="I46" t="s">
        <v>62</v>
      </c>
      <c r="J46" t="s">
        <v>163</v>
      </c>
      <c r="K46" t="s">
        <v>79</v>
      </c>
      <c r="L46" t="s">
        <v>56</v>
      </c>
      <c r="M46" t="s">
        <v>54</v>
      </c>
      <c r="N46">
        <v>6</v>
      </c>
      <c r="O46">
        <v>-2</v>
      </c>
      <c r="P46">
        <v>0</v>
      </c>
      <c r="Q46">
        <v>28</v>
      </c>
      <c r="R46">
        <v>0</v>
      </c>
      <c r="T46">
        <v>0</v>
      </c>
      <c r="U46">
        <v>1</v>
      </c>
      <c r="V46">
        <v>1169</v>
      </c>
      <c r="W46">
        <v>8</v>
      </c>
      <c r="X46" t="s">
        <v>55</v>
      </c>
      <c r="Y46">
        <v>1</v>
      </c>
      <c r="Z46">
        <v>2</v>
      </c>
      <c r="AA46">
        <v>63</v>
      </c>
      <c r="AB46">
        <v>2</v>
      </c>
      <c r="AC46">
        <v>1</v>
      </c>
      <c r="AD46">
        <v>4</v>
      </c>
      <c r="AE46">
        <v>4936</v>
      </c>
      <c r="AF46">
        <v>23965</v>
      </c>
      <c r="AG46">
        <v>1</v>
      </c>
      <c r="AH46">
        <v>13</v>
      </c>
      <c r="AI46">
        <v>3</v>
      </c>
      <c r="AJ46">
        <v>4</v>
      </c>
      <c r="AK46">
        <v>80</v>
      </c>
      <c r="AL46">
        <v>1</v>
      </c>
      <c r="AM46">
        <v>6</v>
      </c>
      <c r="AN46">
        <v>3</v>
      </c>
      <c r="AO46">
        <v>5</v>
      </c>
      <c r="AP46">
        <v>1</v>
      </c>
      <c r="AQ46">
        <v>0</v>
      </c>
      <c r="AR46">
        <v>4</v>
      </c>
    </row>
    <row r="47" spans="1:44" x14ac:dyDescent="0.3">
      <c r="A47" t="s">
        <v>56</v>
      </c>
      <c r="B47" t="s">
        <v>45</v>
      </c>
      <c r="C47" t="s">
        <v>69</v>
      </c>
      <c r="D47" t="s">
        <v>59</v>
      </c>
      <c r="E47" t="s">
        <v>161</v>
      </c>
      <c r="F47" t="s">
        <v>163</v>
      </c>
      <c r="G47" t="s">
        <v>697</v>
      </c>
      <c r="H47">
        <v>847</v>
      </c>
      <c r="I47" t="s">
        <v>62</v>
      </c>
      <c r="J47" t="s">
        <v>163</v>
      </c>
      <c r="K47" t="s">
        <v>64</v>
      </c>
      <c r="L47" t="s">
        <v>56</v>
      </c>
      <c r="M47" t="s">
        <v>54</v>
      </c>
      <c r="N47">
        <v>1</v>
      </c>
      <c r="O47">
        <v>-2</v>
      </c>
      <c r="P47">
        <v>0</v>
      </c>
      <c r="Q47">
        <v>34</v>
      </c>
      <c r="R47">
        <v>0</v>
      </c>
      <c r="T47">
        <v>0</v>
      </c>
      <c r="U47">
        <v>1</v>
      </c>
      <c r="V47">
        <v>829</v>
      </c>
      <c r="W47">
        <v>3</v>
      </c>
      <c r="X47" t="s">
        <v>55</v>
      </c>
      <c r="Y47">
        <v>1</v>
      </c>
      <c r="Z47">
        <v>3</v>
      </c>
      <c r="AA47">
        <v>88</v>
      </c>
      <c r="AB47">
        <v>3</v>
      </c>
      <c r="AC47">
        <v>1</v>
      </c>
      <c r="AD47">
        <v>4</v>
      </c>
      <c r="AE47">
        <v>3737</v>
      </c>
      <c r="AF47">
        <v>2243</v>
      </c>
      <c r="AG47">
        <v>0</v>
      </c>
      <c r="AH47">
        <v>19</v>
      </c>
      <c r="AI47">
        <v>3</v>
      </c>
      <c r="AJ47">
        <v>3</v>
      </c>
      <c r="AK47">
        <v>80</v>
      </c>
      <c r="AL47">
        <v>1</v>
      </c>
      <c r="AM47">
        <v>4</v>
      </c>
      <c r="AN47">
        <v>1</v>
      </c>
      <c r="AO47">
        <v>3</v>
      </c>
      <c r="AP47">
        <v>2</v>
      </c>
      <c r="AQ47">
        <v>0</v>
      </c>
      <c r="AR47">
        <v>2</v>
      </c>
    </row>
    <row r="48" spans="1:44" x14ac:dyDescent="0.3">
      <c r="A48" t="s">
        <v>56</v>
      </c>
      <c r="B48" t="s">
        <v>45</v>
      </c>
      <c r="C48" t="s">
        <v>46</v>
      </c>
      <c r="D48" t="s">
        <v>59</v>
      </c>
      <c r="E48" t="s">
        <v>161</v>
      </c>
      <c r="F48" t="s">
        <v>163</v>
      </c>
      <c r="G48" t="s">
        <v>683</v>
      </c>
      <c r="H48">
        <v>829</v>
      </c>
      <c r="I48" t="s">
        <v>62</v>
      </c>
      <c r="J48" t="s">
        <v>163</v>
      </c>
      <c r="K48" t="s">
        <v>64</v>
      </c>
      <c r="L48" t="s">
        <v>56</v>
      </c>
      <c r="M48" t="s">
        <v>54</v>
      </c>
      <c r="N48">
        <v>2</v>
      </c>
      <c r="O48">
        <v>-2</v>
      </c>
      <c r="P48">
        <v>0</v>
      </c>
      <c r="Q48">
        <v>36</v>
      </c>
      <c r="R48">
        <v>0</v>
      </c>
      <c r="T48">
        <v>0</v>
      </c>
      <c r="U48">
        <v>1</v>
      </c>
      <c r="V48">
        <v>1041</v>
      </c>
      <c r="W48">
        <v>13</v>
      </c>
      <c r="X48" t="s">
        <v>77</v>
      </c>
      <c r="Y48">
        <v>1</v>
      </c>
      <c r="Z48">
        <v>3</v>
      </c>
      <c r="AA48">
        <v>36</v>
      </c>
      <c r="AB48">
        <v>3</v>
      </c>
      <c r="AC48">
        <v>1</v>
      </c>
      <c r="AD48">
        <v>3</v>
      </c>
      <c r="AE48">
        <v>2143</v>
      </c>
      <c r="AF48">
        <v>25527</v>
      </c>
      <c r="AG48">
        <v>4</v>
      </c>
      <c r="AH48">
        <v>13</v>
      </c>
      <c r="AI48">
        <v>3</v>
      </c>
      <c r="AJ48">
        <v>2</v>
      </c>
      <c r="AK48">
        <v>80</v>
      </c>
      <c r="AL48">
        <v>1</v>
      </c>
      <c r="AM48">
        <v>8</v>
      </c>
      <c r="AN48">
        <v>3</v>
      </c>
      <c r="AO48">
        <v>5</v>
      </c>
      <c r="AP48">
        <v>2</v>
      </c>
      <c r="AQ48">
        <v>0</v>
      </c>
      <c r="AR48">
        <v>4</v>
      </c>
    </row>
    <row r="49" spans="1:44" x14ac:dyDescent="0.3">
      <c r="A49" t="s">
        <v>56</v>
      </c>
      <c r="B49" t="s">
        <v>45</v>
      </c>
      <c r="C49" t="s">
        <v>46</v>
      </c>
      <c r="D49" t="s">
        <v>59</v>
      </c>
      <c r="E49" t="s">
        <v>161</v>
      </c>
      <c r="F49" t="s">
        <v>163</v>
      </c>
      <c r="G49" t="s">
        <v>635</v>
      </c>
      <c r="H49">
        <v>760</v>
      </c>
      <c r="I49" t="s">
        <v>51</v>
      </c>
      <c r="J49" t="s">
        <v>163</v>
      </c>
      <c r="K49" t="s">
        <v>64</v>
      </c>
      <c r="L49" t="s">
        <v>56</v>
      </c>
      <c r="M49" t="s">
        <v>54</v>
      </c>
      <c r="N49">
        <v>3</v>
      </c>
      <c r="O49">
        <v>-2</v>
      </c>
      <c r="P49">
        <v>0</v>
      </c>
      <c r="Q49">
        <v>39</v>
      </c>
      <c r="R49">
        <v>0</v>
      </c>
      <c r="T49">
        <v>0</v>
      </c>
      <c r="U49">
        <v>1</v>
      </c>
      <c r="V49">
        <v>141</v>
      </c>
      <c r="W49">
        <v>3</v>
      </c>
      <c r="X49" t="s">
        <v>77</v>
      </c>
      <c r="Y49">
        <v>1</v>
      </c>
      <c r="Z49">
        <v>3</v>
      </c>
      <c r="AA49">
        <v>44</v>
      </c>
      <c r="AB49">
        <v>4</v>
      </c>
      <c r="AC49">
        <v>2</v>
      </c>
      <c r="AD49">
        <v>3</v>
      </c>
      <c r="AE49">
        <v>6389</v>
      </c>
      <c r="AF49">
        <v>18767</v>
      </c>
      <c r="AG49">
        <v>9</v>
      </c>
      <c r="AH49">
        <v>15</v>
      </c>
      <c r="AI49">
        <v>3</v>
      </c>
      <c r="AJ49">
        <v>3</v>
      </c>
      <c r="AK49">
        <v>80</v>
      </c>
      <c r="AL49">
        <v>1</v>
      </c>
      <c r="AM49">
        <v>12</v>
      </c>
      <c r="AN49">
        <v>1</v>
      </c>
      <c r="AO49">
        <v>8</v>
      </c>
      <c r="AP49">
        <v>3</v>
      </c>
      <c r="AQ49">
        <v>3</v>
      </c>
      <c r="AR49">
        <v>6</v>
      </c>
    </row>
    <row r="50" spans="1:44" x14ac:dyDescent="0.3">
      <c r="A50" t="s">
        <v>56</v>
      </c>
      <c r="B50" t="s">
        <v>45</v>
      </c>
      <c r="C50" t="s">
        <v>46</v>
      </c>
      <c r="D50" t="s">
        <v>59</v>
      </c>
      <c r="E50" t="s">
        <v>161</v>
      </c>
      <c r="F50" t="s">
        <v>163</v>
      </c>
      <c r="G50" t="s">
        <v>622</v>
      </c>
      <c r="H50">
        <v>734</v>
      </c>
      <c r="I50" t="s">
        <v>62</v>
      </c>
      <c r="J50" t="s">
        <v>95</v>
      </c>
      <c r="K50" t="s">
        <v>64</v>
      </c>
      <c r="L50" t="s">
        <v>56</v>
      </c>
      <c r="M50" t="s">
        <v>54</v>
      </c>
      <c r="N50">
        <v>3</v>
      </c>
      <c r="O50">
        <v>-2</v>
      </c>
      <c r="P50">
        <v>0</v>
      </c>
      <c r="Q50">
        <v>41</v>
      </c>
      <c r="R50">
        <v>0</v>
      </c>
      <c r="T50">
        <v>0</v>
      </c>
      <c r="U50">
        <v>1</v>
      </c>
      <c r="V50">
        <v>314</v>
      </c>
      <c r="W50">
        <v>1</v>
      </c>
      <c r="X50" t="s">
        <v>77</v>
      </c>
      <c r="Y50">
        <v>1</v>
      </c>
      <c r="Z50">
        <v>4</v>
      </c>
      <c r="AA50">
        <v>59</v>
      </c>
      <c r="AB50">
        <v>2</v>
      </c>
      <c r="AC50">
        <v>5</v>
      </c>
      <c r="AD50">
        <v>3</v>
      </c>
      <c r="AE50">
        <v>19189</v>
      </c>
      <c r="AF50">
        <v>19562</v>
      </c>
      <c r="AG50">
        <v>1</v>
      </c>
      <c r="AH50">
        <v>12</v>
      </c>
      <c r="AI50">
        <v>3</v>
      </c>
      <c r="AJ50">
        <v>2</v>
      </c>
      <c r="AK50">
        <v>80</v>
      </c>
      <c r="AL50">
        <v>1</v>
      </c>
      <c r="AM50">
        <v>22</v>
      </c>
      <c r="AN50">
        <v>3</v>
      </c>
      <c r="AO50">
        <v>22</v>
      </c>
      <c r="AP50">
        <v>7</v>
      </c>
      <c r="AQ50">
        <v>2</v>
      </c>
      <c r="AR50">
        <v>10</v>
      </c>
    </row>
    <row r="51" spans="1:44" x14ac:dyDescent="0.3">
      <c r="A51" t="s">
        <v>56</v>
      </c>
      <c r="B51" t="s">
        <v>45</v>
      </c>
      <c r="C51" t="s">
        <v>46</v>
      </c>
      <c r="D51" t="s">
        <v>59</v>
      </c>
      <c r="E51" t="s">
        <v>161</v>
      </c>
      <c r="F51" t="s">
        <v>163</v>
      </c>
      <c r="G51" t="s">
        <v>619</v>
      </c>
      <c r="H51">
        <v>731</v>
      </c>
      <c r="I51" t="s">
        <v>62</v>
      </c>
      <c r="J51" t="s">
        <v>95</v>
      </c>
      <c r="K51" t="s">
        <v>79</v>
      </c>
      <c r="L51" t="s">
        <v>56</v>
      </c>
      <c r="M51" t="s">
        <v>54</v>
      </c>
      <c r="N51">
        <v>2</v>
      </c>
      <c r="O51">
        <v>-2</v>
      </c>
      <c r="P51">
        <v>0</v>
      </c>
      <c r="Q51">
        <v>41</v>
      </c>
      <c r="R51">
        <v>0</v>
      </c>
      <c r="T51">
        <v>0</v>
      </c>
      <c r="U51">
        <v>1</v>
      </c>
      <c r="V51">
        <v>427</v>
      </c>
      <c r="W51">
        <v>10</v>
      </c>
      <c r="X51" t="s">
        <v>71</v>
      </c>
      <c r="Y51">
        <v>1</v>
      </c>
      <c r="Z51">
        <v>2</v>
      </c>
      <c r="AA51">
        <v>73</v>
      </c>
      <c r="AB51">
        <v>2</v>
      </c>
      <c r="AC51">
        <v>5</v>
      </c>
      <c r="AD51">
        <v>4</v>
      </c>
      <c r="AE51">
        <v>19141</v>
      </c>
      <c r="AF51">
        <v>8861</v>
      </c>
      <c r="AG51">
        <v>3</v>
      </c>
      <c r="AH51">
        <v>15</v>
      </c>
      <c r="AI51">
        <v>3</v>
      </c>
      <c r="AJ51">
        <v>2</v>
      </c>
      <c r="AK51">
        <v>80</v>
      </c>
      <c r="AL51">
        <v>3</v>
      </c>
      <c r="AM51">
        <v>23</v>
      </c>
      <c r="AN51">
        <v>2</v>
      </c>
      <c r="AO51">
        <v>21</v>
      </c>
      <c r="AP51">
        <v>6</v>
      </c>
      <c r="AQ51">
        <v>12</v>
      </c>
      <c r="AR51">
        <v>6</v>
      </c>
    </row>
    <row r="52" spans="1:44" x14ac:dyDescent="0.3">
      <c r="A52" t="s">
        <v>56</v>
      </c>
      <c r="B52" t="s">
        <v>45</v>
      </c>
      <c r="C52" t="s">
        <v>58</v>
      </c>
      <c r="D52" t="s">
        <v>59</v>
      </c>
      <c r="E52" t="s">
        <v>161</v>
      </c>
      <c r="F52" t="s">
        <v>72</v>
      </c>
      <c r="G52" t="s">
        <v>594</v>
      </c>
      <c r="H52">
        <v>698</v>
      </c>
      <c r="I52" t="s">
        <v>62</v>
      </c>
      <c r="J52" t="s">
        <v>163</v>
      </c>
      <c r="K52" t="s">
        <v>64</v>
      </c>
      <c r="L52" t="s">
        <v>56</v>
      </c>
      <c r="M52" t="s">
        <v>54</v>
      </c>
      <c r="N52">
        <v>1</v>
      </c>
      <c r="O52">
        <v>-2</v>
      </c>
      <c r="P52">
        <v>0</v>
      </c>
      <c r="Q52">
        <v>54</v>
      </c>
      <c r="R52">
        <v>0</v>
      </c>
      <c r="T52">
        <v>0</v>
      </c>
      <c r="U52">
        <v>1</v>
      </c>
      <c r="V52">
        <v>397</v>
      </c>
      <c r="W52">
        <v>19</v>
      </c>
      <c r="X52" t="s">
        <v>71</v>
      </c>
      <c r="Y52">
        <v>1</v>
      </c>
      <c r="Z52">
        <v>3</v>
      </c>
      <c r="AA52">
        <v>88</v>
      </c>
      <c r="AB52">
        <v>3</v>
      </c>
      <c r="AC52">
        <v>3</v>
      </c>
      <c r="AD52">
        <v>3</v>
      </c>
      <c r="AE52">
        <v>10725</v>
      </c>
      <c r="AF52">
        <v>6729</v>
      </c>
      <c r="AG52">
        <v>2</v>
      </c>
      <c r="AH52">
        <v>15</v>
      </c>
      <c r="AI52">
        <v>3</v>
      </c>
      <c r="AJ52">
        <v>3</v>
      </c>
      <c r="AK52">
        <v>80</v>
      </c>
      <c r="AL52">
        <v>1</v>
      </c>
      <c r="AM52">
        <v>16</v>
      </c>
      <c r="AN52">
        <v>4</v>
      </c>
      <c r="AO52">
        <v>9</v>
      </c>
      <c r="AP52">
        <v>7</v>
      </c>
      <c r="AQ52">
        <v>7</v>
      </c>
      <c r="AR52">
        <v>1</v>
      </c>
    </row>
    <row r="53" spans="1:44" x14ac:dyDescent="0.3">
      <c r="A53" t="s">
        <v>56</v>
      </c>
      <c r="B53" t="s">
        <v>45</v>
      </c>
      <c r="C53" t="s">
        <v>46</v>
      </c>
      <c r="D53" t="s">
        <v>59</v>
      </c>
      <c r="E53" t="s">
        <v>161</v>
      </c>
      <c r="F53" t="s">
        <v>49</v>
      </c>
      <c r="G53" t="s">
        <v>577</v>
      </c>
      <c r="H53">
        <v>665</v>
      </c>
      <c r="I53" t="s">
        <v>51</v>
      </c>
      <c r="J53" t="s">
        <v>163</v>
      </c>
      <c r="K53" t="s">
        <v>53</v>
      </c>
      <c r="L53" t="s">
        <v>56</v>
      </c>
      <c r="M53" t="s">
        <v>54</v>
      </c>
      <c r="N53">
        <v>1</v>
      </c>
      <c r="O53">
        <v>-2</v>
      </c>
      <c r="P53">
        <v>0</v>
      </c>
      <c r="Q53">
        <v>44</v>
      </c>
      <c r="R53">
        <v>0</v>
      </c>
      <c r="T53">
        <v>0</v>
      </c>
      <c r="U53">
        <v>1</v>
      </c>
      <c r="V53">
        <v>1112</v>
      </c>
      <c r="W53">
        <v>1</v>
      </c>
      <c r="X53" t="s">
        <v>71</v>
      </c>
      <c r="Y53">
        <v>1</v>
      </c>
      <c r="Z53">
        <v>1</v>
      </c>
      <c r="AA53">
        <v>50</v>
      </c>
      <c r="AB53">
        <v>2</v>
      </c>
      <c r="AC53">
        <v>2</v>
      </c>
      <c r="AD53">
        <v>2</v>
      </c>
      <c r="AE53">
        <v>5985</v>
      </c>
      <c r="AF53">
        <v>26894</v>
      </c>
      <c r="AG53">
        <v>4</v>
      </c>
      <c r="AH53">
        <v>11</v>
      </c>
      <c r="AI53">
        <v>3</v>
      </c>
      <c r="AJ53">
        <v>2</v>
      </c>
      <c r="AK53">
        <v>80</v>
      </c>
      <c r="AL53">
        <v>0</v>
      </c>
      <c r="AM53">
        <v>10</v>
      </c>
      <c r="AN53">
        <v>4</v>
      </c>
      <c r="AO53">
        <v>2</v>
      </c>
      <c r="AP53">
        <v>2</v>
      </c>
      <c r="AQ53">
        <v>0</v>
      </c>
      <c r="AR53">
        <v>2</v>
      </c>
    </row>
    <row r="54" spans="1:44" x14ac:dyDescent="0.3">
      <c r="A54" t="s">
        <v>56</v>
      </c>
      <c r="B54" t="s">
        <v>57</v>
      </c>
      <c r="C54" t="s">
        <v>58</v>
      </c>
      <c r="D54" t="s">
        <v>59</v>
      </c>
      <c r="E54" t="s">
        <v>161</v>
      </c>
      <c r="F54" t="s">
        <v>72</v>
      </c>
      <c r="G54" t="s">
        <v>561</v>
      </c>
      <c r="H54">
        <v>644</v>
      </c>
      <c r="I54" t="s">
        <v>62</v>
      </c>
      <c r="J54" t="s">
        <v>95</v>
      </c>
      <c r="K54" t="s">
        <v>64</v>
      </c>
      <c r="L54" t="s">
        <v>56</v>
      </c>
      <c r="M54" t="s">
        <v>54</v>
      </c>
      <c r="N54">
        <v>2</v>
      </c>
      <c r="O54">
        <v>-2</v>
      </c>
      <c r="P54">
        <v>0</v>
      </c>
      <c r="Q54">
        <v>50</v>
      </c>
      <c r="R54">
        <v>0</v>
      </c>
      <c r="T54">
        <v>0</v>
      </c>
      <c r="U54">
        <v>1</v>
      </c>
      <c r="V54">
        <v>1246</v>
      </c>
      <c r="W54">
        <v>3</v>
      </c>
      <c r="X54" t="s">
        <v>77</v>
      </c>
      <c r="Y54">
        <v>1</v>
      </c>
      <c r="Z54">
        <v>1</v>
      </c>
      <c r="AA54">
        <v>99</v>
      </c>
      <c r="AB54">
        <v>3</v>
      </c>
      <c r="AC54">
        <v>5</v>
      </c>
      <c r="AD54">
        <v>3</v>
      </c>
      <c r="AE54">
        <v>18200</v>
      </c>
      <c r="AF54">
        <v>7999</v>
      </c>
      <c r="AG54">
        <v>1</v>
      </c>
      <c r="AH54">
        <v>11</v>
      </c>
      <c r="AI54">
        <v>3</v>
      </c>
      <c r="AJ54">
        <v>3</v>
      </c>
      <c r="AK54">
        <v>80</v>
      </c>
      <c r="AL54">
        <v>1</v>
      </c>
      <c r="AM54">
        <v>32</v>
      </c>
      <c r="AN54">
        <v>3</v>
      </c>
      <c r="AO54">
        <v>32</v>
      </c>
      <c r="AP54">
        <v>5</v>
      </c>
      <c r="AQ54">
        <v>10</v>
      </c>
      <c r="AR54">
        <v>7</v>
      </c>
    </row>
    <row r="55" spans="1:44" x14ac:dyDescent="0.3">
      <c r="A55" t="s">
        <v>44</v>
      </c>
      <c r="B55" t="s">
        <v>57</v>
      </c>
      <c r="C55" t="s">
        <v>69</v>
      </c>
      <c r="D55" t="s">
        <v>47</v>
      </c>
      <c r="E55" t="s">
        <v>161</v>
      </c>
      <c r="F55" t="s">
        <v>49</v>
      </c>
      <c r="G55" t="s">
        <v>537</v>
      </c>
      <c r="H55">
        <v>608</v>
      </c>
      <c r="I55" t="s">
        <v>51</v>
      </c>
      <c r="J55" t="s">
        <v>163</v>
      </c>
      <c r="K55" t="s">
        <v>79</v>
      </c>
      <c r="L55" t="s">
        <v>44</v>
      </c>
      <c r="M55" t="s">
        <v>54</v>
      </c>
      <c r="N55">
        <v>2</v>
      </c>
      <c r="O55">
        <v>-2</v>
      </c>
      <c r="P55">
        <v>0</v>
      </c>
      <c r="Q55">
        <v>26</v>
      </c>
      <c r="R55">
        <v>1</v>
      </c>
      <c r="S55">
        <v>1</v>
      </c>
      <c r="T55">
        <v>1</v>
      </c>
      <c r="U55">
        <v>0</v>
      </c>
      <c r="V55">
        <v>426</v>
      </c>
      <c r="W55">
        <v>17</v>
      </c>
      <c r="X55" t="s">
        <v>71</v>
      </c>
      <c r="Y55">
        <v>1</v>
      </c>
      <c r="Z55">
        <v>2</v>
      </c>
      <c r="AA55">
        <v>58</v>
      </c>
      <c r="AB55">
        <v>3</v>
      </c>
      <c r="AC55">
        <v>1</v>
      </c>
      <c r="AD55">
        <v>2</v>
      </c>
      <c r="AE55">
        <v>2741</v>
      </c>
      <c r="AF55">
        <v>22808</v>
      </c>
      <c r="AG55">
        <v>0</v>
      </c>
      <c r="AH55">
        <v>11</v>
      </c>
      <c r="AI55">
        <v>3</v>
      </c>
      <c r="AJ55">
        <v>2</v>
      </c>
      <c r="AK55">
        <v>80</v>
      </c>
      <c r="AL55">
        <v>1</v>
      </c>
      <c r="AM55">
        <v>8</v>
      </c>
      <c r="AN55">
        <v>2</v>
      </c>
      <c r="AO55">
        <v>7</v>
      </c>
      <c r="AP55">
        <v>7</v>
      </c>
      <c r="AQ55">
        <v>1</v>
      </c>
      <c r="AR55">
        <v>0</v>
      </c>
    </row>
    <row r="56" spans="1:44" x14ac:dyDescent="0.3">
      <c r="A56" t="s">
        <v>44</v>
      </c>
      <c r="B56" t="s">
        <v>57</v>
      </c>
      <c r="C56" t="s">
        <v>69</v>
      </c>
      <c r="D56" t="s">
        <v>47</v>
      </c>
      <c r="E56" t="s">
        <v>161</v>
      </c>
      <c r="F56" t="s">
        <v>163</v>
      </c>
      <c r="G56" t="s">
        <v>524</v>
      </c>
      <c r="H56">
        <v>590</v>
      </c>
      <c r="I56" t="s">
        <v>51</v>
      </c>
      <c r="J56" t="s">
        <v>163</v>
      </c>
      <c r="K56" t="s">
        <v>79</v>
      </c>
      <c r="L56" t="s">
        <v>44</v>
      </c>
      <c r="M56" t="s">
        <v>54</v>
      </c>
      <c r="N56">
        <v>2</v>
      </c>
      <c r="O56">
        <v>-2</v>
      </c>
      <c r="P56">
        <v>0</v>
      </c>
      <c r="Q56">
        <v>34</v>
      </c>
      <c r="R56">
        <v>1</v>
      </c>
      <c r="S56">
        <v>1</v>
      </c>
      <c r="T56">
        <v>1</v>
      </c>
      <c r="U56">
        <v>0</v>
      </c>
      <c r="V56">
        <v>988</v>
      </c>
      <c r="W56">
        <v>23</v>
      </c>
      <c r="X56" t="s">
        <v>77</v>
      </c>
      <c r="Y56">
        <v>1</v>
      </c>
      <c r="Z56">
        <v>2</v>
      </c>
      <c r="AA56">
        <v>43</v>
      </c>
      <c r="AB56">
        <v>3</v>
      </c>
      <c r="AC56">
        <v>3</v>
      </c>
      <c r="AD56">
        <v>3</v>
      </c>
      <c r="AE56">
        <v>9950</v>
      </c>
      <c r="AF56">
        <v>11533</v>
      </c>
      <c r="AG56">
        <v>9</v>
      </c>
      <c r="AH56">
        <v>15</v>
      </c>
      <c r="AI56">
        <v>3</v>
      </c>
      <c r="AJ56">
        <v>3</v>
      </c>
      <c r="AK56">
        <v>80</v>
      </c>
      <c r="AL56">
        <v>3</v>
      </c>
      <c r="AM56">
        <v>11</v>
      </c>
      <c r="AN56">
        <v>3</v>
      </c>
      <c r="AO56">
        <v>3</v>
      </c>
      <c r="AP56">
        <v>2</v>
      </c>
      <c r="AQ56">
        <v>0</v>
      </c>
      <c r="AR56">
        <v>2</v>
      </c>
    </row>
    <row r="57" spans="1:44" x14ac:dyDescent="0.3">
      <c r="A57" t="s">
        <v>44</v>
      </c>
      <c r="B57" t="s">
        <v>45</v>
      </c>
      <c r="C57" t="s">
        <v>92</v>
      </c>
      <c r="D57" t="s">
        <v>47</v>
      </c>
      <c r="E57" t="s">
        <v>161</v>
      </c>
      <c r="F57" t="s">
        <v>113</v>
      </c>
      <c r="G57" t="s">
        <v>506</v>
      </c>
      <c r="H57">
        <v>566</v>
      </c>
      <c r="I57" t="s">
        <v>62</v>
      </c>
      <c r="J57" t="s">
        <v>163</v>
      </c>
      <c r="K57" t="s">
        <v>53</v>
      </c>
      <c r="L57" t="s">
        <v>56</v>
      </c>
      <c r="M57" t="s">
        <v>54</v>
      </c>
      <c r="N57">
        <v>3</v>
      </c>
      <c r="O57">
        <v>-2</v>
      </c>
      <c r="P57">
        <v>0</v>
      </c>
      <c r="Q57">
        <v>19</v>
      </c>
      <c r="R57">
        <v>1</v>
      </c>
      <c r="S57">
        <v>1</v>
      </c>
      <c r="T57">
        <v>1</v>
      </c>
      <c r="U57">
        <v>0</v>
      </c>
      <c r="V57">
        <v>489</v>
      </c>
      <c r="W57">
        <v>2</v>
      </c>
      <c r="X57" t="s">
        <v>55</v>
      </c>
      <c r="Y57">
        <v>1</v>
      </c>
      <c r="Z57">
        <v>4</v>
      </c>
      <c r="AA57">
        <v>52</v>
      </c>
      <c r="AB57">
        <v>2</v>
      </c>
      <c r="AC57">
        <v>1</v>
      </c>
      <c r="AD57">
        <v>4</v>
      </c>
      <c r="AE57">
        <v>2564</v>
      </c>
      <c r="AF57">
        <v>18437</v>
      </c>
      <c r="AG57">
        <v>1</v>
      </c>
      <c r="AH57">
        <v>12</v>
      </c>
      <c r="AI57">
        <v>3</v>
      </c>
      <c r="AJ57">
        <v>3</v>
      </c>
      <c r="AK57">
        <v>80</v>
      </c>
      <c r="AL57">
        <v>0</v>
      </c>
      <c r="AM57">
        <v>1</v>
      </c>
      <c r="AN57">
        <v>4</v>
      </c>
      <c r="AO57">
        <v>1</v>
      </c>
      <c r="AP57">
        <v>0</v>
      </c>
      <c r="AQ57">
        <v>0</v>
      </c>
      <c r="AR57">
        <v>0</v>
      </c>
    </row>
    <row r="58" spans="1:44" x14ac:dyDescent="0.3">
      <c r="A58" t="s">
        <v>56</v>
      </c>
      <c r="B58" t="s">
        <v>45</v>
      </c>
      <c r="C58" t="s">
        <v>46</v>
      </c>
      <c r="D58" t="s">
        <v>59</v>
      </c>
      <c r="E58" t="s">
        <v>161</v>
      </c>
      <c r="F58" t="s">
        <v>113</v>
      </c>
      <c r="G58" t="s">
        <v>434</v>
      </c>
      <c r="H58">
        <v>470</v>
      </c>
      <c r="I58" t="s">
        <v>62</v>
      </c>
      <c r="J58" t="s">
        <v>163</v>
      </c>
      <c r="K58" t="s">
        <v>79</v>
      </c>
      <c r="L58" t="s">
        <v>44</v>
      </c>
      <c r="M58" t="s">
        <v>54</v>
      </c>
      <c r="N58">
        <v>5</v>
      </c>
      <c r="O58">
        <v>-2</v>
      </c>
      <c r="P58">
        <v>0</v>
      </c>
      <c r="Q58">
        <v>42</v>
      </c>
      <c r="R58">
        <v>0</v>
      </c>
      <c r="T58">
        <v>0</v>
      </c>
      <c r="U58">
        <v>1</v>
      </c>
      <c r="V58">
        <v>544</v>
      </c>
      <c r="W58">
        <v>2</v>
      </c>
      <c r="X58" t="s">
        <v>65</v>
      </c>
      <c r="Y58">
        <v>1</v>
      </c>
      <c r="Z58">
        <v>4</v>
      </c>
      <c r="AA58">
        <v>52</v>
      </c>
      <c r="AB58">
        <v>3</v>
      </c>
      <c r="AC58">
        <v>1</v>
      </c>
      <c r="AD58">
        <v>4</v>
      </c>
      <c r="AE58">
        <v>2696</v>
      </c>
      <c r="AF58">
        <v>24017</v>
      </c>
      <c r="AG58">
        <v>0</v>
      </c>
      <c r="AH58">
        <v>11</v>
      </c>
      <c r="AI58">
        <v>3</v>
      </c>
      <c r="AJ58">
        <v>3</v>
      </c>
      <c r="AK58">
        <v>80</v>
      </c>
      <c r="AL58">
        <v>1</v>
      </c>
      <c r="AM58">
        <v>4</v>
      </c>
      <c r="AN58">
        <v>3</v>
      </c>
      <c r="AO58">
        <v>3</v>
      </c>
      <c r="AP58">
        <v>2</v>
      </c>
      <c r="AQ58">
        <v>1</v>
      </c>
      <c r="AR58">
        <v>0</v>
      </c>
    </row>
    <row r="59" spans="1:44" x14ac:dyDescent="0.3">
      <c r="A59" t="s">
        <v>56</v>
      </c>
      <c r="B59" t="s">
        <v>45</v>
      </c>
      <c r="C59" t="s">
        <v>69</v>
      </c>
      <c r="D59" t="s">
        <v>59</v>
      </c>
      <c r="E59" t="s">
        <v>161</v>
      </c>
      <c r="F59" t="s">
        <v>163</v>
      </c>
      <c r="G59" t="s">
        <v>394</v>
      </c>
      <c r="H59">
        <v>424</v>
      </c>
      <c r="I59" t="s">
        <v>62</v>
      </c>
      <c r="J59" t="s">
        <v>163</v>
      </c>
      <c r="K59" t="s">
        <v>64</v>
      </c>
      <c r="L59" t="s">
        <v>56</v>
      </c>
      <c r="M59" t="s">
        <v>54</v>
      </c>
      <c r="N59">
        <v>1</v>
      </c>
      <c r="O59">
        <v>-2</v>
      </c>
      <c r="P59">
        <v>0</v>
      </c>
      <c r="Q59">
        <v>31</v>
      </c>
      <c r="R59">
        <v>0</v>
      </c>
      <c r="T59">
        <v>0</v>
      </c>
      <c r="U59">
        <v>1</v>
      </c>
      <c r="V59">
        <v>106</v>
      </c>
      <c r="W59">
        <v>2</v>
      </c>
      <c r="X59" t="s">
        <v>77</v>
      </c>
      <c r="Y59">
        <v>1</v>
      </c>
      <c r="Z59">
        <v>1</v>
      </c>
      <c r="AA59">
        <v>62</v>
      </c>
      <c r="AB59">
        <v>2</v>
      </c>
      <c r="AC59">
        <v>2</v>
      </c>
      <c r="AD59">
        <v>3</v>
      </c>
      <c r="AE59">
        <v>6410</v>
      </c>
      <c r="AF59">
        <v>17822</v>
      </c>
      <c r="AG59">
        <v>3</v>
      </c>
      <c r="AH59">
        <v>12</v>
      </c>
      <c r="AI59">
        <v>3</v>
      </c>
      <c r="AJ59">
        <v>4</v>
      </c>
      <c r="AK59">
        <v>80</v>
      </c>
      <c r="AL59">
        <v>0</v>
      </c>
      <c r="AM59">
        <v>9</v>
      </c>
      <c r="AN59">
        <v>3</v>
      </c>
      <c r="AO59">
        <v>2</v>
      </c>
      <c r="AP59">
        <v>2</v>
      </c>
      <c r="AQ59">
        <v>1</v>
      </c>
      <c r="AR59">
        <v>0</v>
      </c>
    </row>
    <row r="60" spans="1:44" x14ac:dyDescent="0.3">
      <c r="A60" t="s">
        <v>56</v>
      </c>
      <c r="B60" t="s">
        <v>45</v>
      </c>
      <c r="C60" t="s">
        <v>75</v>
      </c>
      <c r="D60" t="s">
        <v>59</v>
      </c>
      <c r="E60" t="s">
        <v>161</v>
      </c>
      <c r="F60" t="s">
        <v>72</v>
      </c>
      <c r="G60" t="s">
        <v>316</v>
      </c>
      <c r="H60">
        <v>321</v>
      </c>
      <c r="I60" t="s">
        <v>62</v>
      </c>
      <c r="J60" t="s">
        <v>163</v>
      </c>
      <c r="K60" t="s">
        <v>64</v>
      </c>
      <c r="L60" t="s">
        <v>56</v>
      </c>
      <c r="M60" t="s">
        <v>54</v>
      </c>
      <c r="N60">
        <v>2</v>
      </c>
      <c r="O60">
        <v>-2</v>
      </c>
      <c r="P60">
        <v>0</v>
      </c>
      <c r="Q60">
        <v>59</v>
      </c>
      <c r="R60">
        <v>0</v>
      </c>
      <c r="T60">
        <v>0</v>
      </c>
      <c r="U60">
        <v>1</v>
      </c>
      <c r="V60">
        <v>818</v>
      </c>
      <c r="W60">
        <v>6</v>
      </c>
      <c r="X60" t="s">
        <v>55</v>
      </c>
      <c r="Y60">
        <v>1</v>
      </c>
      <c r="Z60">
        <v>2</v>
      </c>
      <c r="AA60">
        <v>52</v>
      </c>
      <c r="AB60">
        <v>3</v>
      </c>
      <c r="AC60">
        <v>1</v>
      </c>
      <c r="AD60">
        <v>3</v>
      </c>
      <c r="AE60">
        <v>2267</v>
      </c>
      <c r="AF60">
        <v>25657</v>
      </c>
      <c r="AG60">
        <v>8</v>
      </c>
      <c r="AH60">
        <v>17</v>
      </c>
      <c r="AI60">
        <v>3</v>
      </c>
      <c r="AJ60">
        <v>4</v>
      </c>
      <c r="AK60">
        <v>80</v>
      </c>
      <c r="AL60">
        <v>0</v>
      </c>
      <c r="AM60">
        <v>7</v>
      </c>
      <c r="AN60">
        <v>2</v>
      </c>
      <c r="AO60">
        <v>2</v>
      </c>
      <c r="AP60">
        <v>2</v>
      </c>
      <c r="AQ60">
        <v>2</v>
      </c>
      <c r="AR60">
        <v>2</v>
      </c>
    </row>
    <row r="61" spans="1:44" x14ac:dyDescent="0.3">
      <c r="A61" t="s">
        <v>56</v>
      </c>
      <c r="B61" t="s">
        <v>45</v>
      </c>
      <c r="C61" t="s">
        <v>69</v>
      </c>
      <c r="D61" t="s">
        <v>59</v>
      </c>
      <c r="E61" t="s">
        <v>161</v>
      </c>
      <c r="F61" t="s">
        <v>163</v>
      </c>
      <c r="G61" t="s">
        <v>223</v>
      </c>
      <c r="H61">
        <v>184</v>
      </c>
      <c r="I61" t="s">
        <v>62</v>
      </c>
      <c r="J61" t="s">
        <v>163</v>
      </c>
      <c r="K61" t="s">
        <v>64</v>
      </c>
      <c r="L61" t="s">
        <v>44</v>
      </c>
      <c r="M61" t="s">
        <v>54</v>
      </c>
      <c r="N61">
        <v>2</v>
      </c>
      <c r="O61">
        <v>-2</v>
      </c>
      <c r="P61">
        <v>0</v>
      </c>
      <c r="Q61">
        <v>30</v>
      </c>
      <c r="R61">
        <v>0</v>
      </c>
      <c r="T61">
        <v>0</v>
      </c>
      <c r="U61">
        <v>1</v>
      </c>
      <c r="V61">
        <v>1240</v>
      </c>
      <c r="W61">
        <v>9</v>
      </c>
      <c r="X61" t="s">
        <v>77</v>
      </c>
      <c r="Y61">
        <v>1</v>
      </c>
      <c r="Z61">
        <v>3</v>
      </c>
      <c r="AA61">
        <v>48</v>
      </c>
      <c r="AB61">
        <v>3</v>
      </c>
      <c r="AC61">
        <v>2</v>
      </c>
      <c r="AD61">
        <v>4</v>
      </c>
      <c r="AE61">
        <v>6347</v>
      </c>
      <c r="AF61">
        <v>13982</v>
      </c>
      <c r="AG61">
        <v>0</v>
      </c>
      <c r="AH61">
        <v>19</v>
      </c>
      <c r="AI61">
        <v>3</v>
      </c>
      <c r="AJ61">
        <v>4</v>
      </c>
      <c r="AK61">
        <v>80</v>
      </c>
      <c r="AL61">
        <v>0</v>
      </c>
      <c r="AM61">
        <v>12</v>
      </c>
      <c r="AN61">
        <v>1</v>
      </c>
      <c r="AO61">
        <v>11</v>
      </c>
      <c r="AP61">
        <v>9</v>
      </c>
      <c r="AQ61">
        <v>4</v>
      </c>
      <c r="AR61">
        <v>7</v>
      </c>
    </row>
    <row r="62" spans="1:44" x14ac:dyDescent="0.3">
      <c r="A62" t="s">
        <v>56</v>
      </c>
      <c r="B62" t="s">
        <v>45</v>
      </c>
      <c r="C62" t="s">
        <v>69</v>
      </c>
      <c r="D62" t="s">
        <v>59</v>
      </c>
      <c r="E62" t="s">
        <v>161</v>
      </c>
      <c r="F62" t="s">
        <v>49</v>
      </c>
      <c r="G62" t="s">
        <v>218</v>
      </c>
      <c r="H62">
        <v>177</v>
      </c>
      <c r="I62" t="s">
        <v>51</v>
      </c>
      <c r="J62" t="s">
        <v>163</v>
      </c>
      <c r="K62" t="s">
        <v>64</v>
      </c>
      <c r="L62" t="s">
        <v>56</v>
      </c>
      <c r="M62" t="s">
        <v>54</v>
      </c>
      <c r="N62">
        <v>3</v>
      </c>
      <c r="O62">
        <v>-2</v>
      </c>
      <c r="P62">
        <v>0</v>
      </c>
      <c r="Q62">
        <v>26</v>
      </c>
      <c r="R62">
        <v>0</v>
      </c>
      <c r="T62">
        <v>0</v>
      </c>
      <c r="U62">
        <v>1</v>
      </c>
      <c r="V62">
        <v>1355</v>
      </c>
      <c r="W62">
        <v>25</v>
      </c>
      <c r="X62" t="s">
        <v>65</v>
      </c>
      <c r="Y62">
        <v>1</v>
      </c>
      <c r="Z62">
        <v>3</v>
      </c>
      <c r="AA62">
        <v>61</v>
      </c>
      <c r="AB62">
        <v>3</v>
      </c>
      <c r="AC62">
        <v>1</v>
      </c>
      <c r="AD62">
        <v>2</v>
      </c>
      <c r="AE62">
        <v>2942</v>
      </c>
      <c r="AF62">
        <v>8916</v>
      </c>
      <c r="AG62">
        <v>1</v>
      </c>
      <c r="AH62">
        <v>23</v>
      </c>
      <c r="AI62">
        <v>4</v>
      </c>
      <c r="AJ62">
        <v>4</v>
      </c>
      <c r="AK62">
        <v>80</v>
      </c>
      <c r="AL62">
        <v>1</v>
      </c>
      <c r="AM62">
        <v>8</v>
      </c>
      <c r="AN62">
        <v>3</v>
      </c>
      <c r="AO62">
        <v>8</v>
      </c>
      <c r="AP62">
        <v>7</v>
      </c>
      <c r="AQ62">
        <v>5</v>
      </c>
      <c r="AR62">
        <v>7</v>
      </c>
    </row>
    <row r="63" spans="1:44" x14ac:dyDescent="0.3">
      <c r="A63" t="s">
        <v>56</v>
      </c>
      <c r="B63" t="s">
        <v>91</v>
      </c>
      <c r="C63" t="s">
        <v>58</v>
      </c>
      <c r="D63" t="s">
        <v>59</v>
      </c>
      <c r="E63" t="s">
        <v>161</v>
      </c>
      <c r="F63" t="s">
        <v>163</v>
      </c>
      <c r="G63" t="s">
        <v>196</v>
      </c>
      <c r="H63">
        <v>148</v>
      </c>
      <c r="I63" t="s">
        <v>51</v>
      </c>
      <c r="J63" t="s">
        <v>95</v>
      </c>
      <c r="K63" t="s">
        <v>53</v>
      </c>
      <c r="L63" t="s">
        <v>44</v>
      </c>
      <c r="M63" t="s">
        <v>54</v>
      </c>
      <c r="N63">
        <v>3</v>
      </c>
      <c r="O63">
        <v>-2</v>
      </c>
      <c r="P63">
        <v>0</v>
      </c>
      <c r="Q63">
        <v>54</v>
      </c>
      <c r="R63">
        <v>0</v>
      </c>
      <c r="T63">
        <v>0</v>
      </c>
      <c r="U63">
        <v>1</v>
      </c>
      <c r="V63">
        <v>142</v>
      </c>
      <c r="W63">
        <v>26</v>
      </c>
      <c r="X63" t="s">
        <v>77</v>
      </c>
      <c r="Y63">
        <v>1</v>
      </c>
      <c r="Z63">
        <v>4</v>
      </c>
      <c r="AA63">
        <v>30</v>
      </c>
      <c r="AB63">
        <v>4</v>
      </c>
      <c r="AC63">
        <v>4</v>
      </c>
      <c r="AD63">
        <v>4</v>
      </c>
      <c r="AE63">
        <v>17328</v>
      </c>
      <c r="AF63">
        <v>13871</v>
      </c>
      <c r="AG63">
        <v>2</v>
      </c>
      <c r="AH63">
        <v>12</v>
      </c>
      <c r="AI63">
        <v>3</v>
      </c>
      <c r="AJ63">
        <v>3</v>
      </c>
      <c r="AK63">
        <v>80</v>
      </c>
      <c r="AL63">
        <v>0</v>
      </c>
      <c r="AM63">
        <v>23</v>
      </c>
      <c r="AN63">
        <v>3</v>
      </c>
      <c r="AO63">
        <v>5</v>
      </c>
      <c r="AP63">
        <v>3</v>
      </c>
      <c r="AQ63">
        <v>4</v>
      </c>
      <c r="AR63">
        <v>4</v>
      </c>
    </row>
    <row r="64" spans="1:44" x14ac:dyDescent="0.3">
      <c r="A64" t="s">
        <v>56</v>
      </c>
      <c r="B64" t="s">
        <v>91</v>
      </c>
      <c r="C64" t="s">
        <v>75</v>
      </c>
      <c r="D64" t="s">
        <v>59</v>
      </c>
      <c r="E64" t="s">
        <v>161</v>
      </c>
      <c r="F64" t="s">
        <v>163</v>
      </c>
      <c r="G64" t="s">
        <v>189</v>
      </c>
      <c r="H64">
        <v>140</v>
      </c>
      <c r="I64" t="s">
        <v>51</v>
      </c>
      <c r="J64" t="s">
        <v>95</v>
      </c>
      <c r="K64" t="s">
        <v>64</v>
      </c>
      <c r="L64" t="s">
        <v>56</v>
      </c>
      <c r="M64" t="s">
        <v>54</v>
      </c>
      <c r="N64">
        <v>3</v>
      </c>
      <c r="O64">
        <v>-2</v>
      </c>
      <c r="P64">
        <v>0</v>
      </c>
      <c r="Q64">
        <v>59</v>
      </c>
      <c r="R64">
        <v>0</v>
      </c>
      <c r="T64">
        <v>0</v>
      </c>
      <c r="U64">
        <v>1</v>
      </c>
      <c r="V64">
        <v>1420</v>
      </c>
      <c r="W64">
        <v>2</v>
      </c>
      <c r="X64" t="s">
        <v>71</v>
      </c>
      <c r="Y64">
        <v>1</v>
      </c>
      <c r="Z64">
        <v>3</v>
      </c>
      <c r="AA64">
        <v>32</v>
      </c>
      <c r="AB64">
        <v>2</v>
      </c>
      <c r="AC64">
        <v>5</v>
      </c>
      <c r="AD64">
        <v>4</v>
      </c>
      <c r="AE64">
        <v>18844</v>
      </c>
      <c r="AF64">
        <v>21922</v>
      </c>
      <c r="AG64">
        <v>9</v>
      </c>
      <c r="AH64">
        <v>21</v>
      </c>
      <c r="AI64">
        <v>4</v>
      </c>
      <c r="AJ64">
        <v>4</v>
      </c>
      <c r="AK64">
        <v>80</v>
      </c>
      <c r="AL64">
        <v>1</v>
      </c>
      <c r="AM64">
        <v>30</v>
      </c>
      <c r="AN64">
        <v>3</v>
      </c>
      <c r="AO64">
        <v>3</v>
      </c>
      <c r="AP64">
        <v>2</v>
      </c>
      <c r="AQ64">
        <v>2</v>
      </c>
      <c r="AR64">
        <v>2</v>
      </c>
    </row>
    <row r="65" spans="1:44" x14ac:dyDescent="0.3">
      <c r="A65" t="s">
        <v>44</v>
      </c>
      <c r="B65" t="s">
        <v>45</v>
      </c>
      <c r="C65" t="s">
        <v>46</v>
      </c>
      <c r="D65" t="s">
        <v>47</v>
      </c>
      <c r="E65" t="s">
        <v>161</v>
      </c>
      <c r="F65" t="s">
        <v>163</v>
      </c>
      <c r="G65" t="s">
        <v>184</v>
      </c>
      <c r="H65">
        <v>133</v>
      </c>
      <c r="I65" t="s">
        <v>62</v>
      </c>
      <c r="J65" t="s">
        <v>163</v>
      </c>
      <c r="K65" t="s">
        <v>79</v>
      </c>
      <c r="L65" t="s">
        <v>44</v>
      </c>
      <c r="M65" t="s">
        <v>54</v>
      </c>
      <c r="N65">
        <v>3</v>
      </c>
      <c r="O65">
        <v>-2</v>
      </c>
      <c r="P65">
        <v>0</v>
      </c>
      <c r="Q65">
        <v>37</v>
      </c>
      <c r="R65">
        <v>1</v>
      </c>
      <c r="S65">
        <v>1</v>
      </c>
      <c r="T65">
        <v>1</v>
      </c>
      <c r="U65">
        <v>0</v>
      </c>
      <c r="V65">
        <v>807</v>
      </c>
      <c r="W65">
        <v>6</v>
      </c>
      <c r="X65" t="s">
        <v>71</v>
      </c>
      <c r="Y65">
        <v>1</v>
      </c>
      <c r="Z65">
        <v>3</v>
      </c>
      <c r="AA65">
        <v>63</v>
      </c>
      <c r="AB65">
        <v>3</v>
      </c>
      <c r="AC65">
        <v>1</v>
      </c>
      <c r="AD65">
        <v>4</v>
      </c>
      <c r="AE65">
        <v>2073</v>
      </c>
      <c r="AF65">
        <v>23648</v>
      </c>
      <c r="AG65">
        <v>4</v>
      </c>
      <c r="AH65">
        <v>22</v>
      </c>
      <c r="AI65">
        <v>4</v>
      </c>
      <c r="AJ65">
        <v>4</v>
      </c>
      <c r="AK65">
        <v>80</v>
      </c>
      <c r="AL65">
        <v>0</v>
      </c>
      <c r="AM65">
        <v>7</v>
      </c>
      <c r="AN65">
        <v>3</v>
      </c>
      <c r="AO65">
        <v>3</v>
      </c>
      <c r="AP65">
        <v>2</v>
      </c>
      <c r="AQ65">
        <v>0</v>
      </c>
      <c r="AR65">
        <v>2</v>
      </c>
    </row>
    <row r="66" spans="1:44" x14ac:dyDescent="0.3">
      <c r="A66" t="s">
        <v>56</v>
      </c>
      <c r="B66" t="s">
        <v>45</v>
      </c>
      <c r="C66" t="s">
        <v>58</v>
      </c>
      <c r="D66" t="s">
        <v>59</v>
      </c>
      <c r="E66" t="s">
        <v>161</v>
      </c>
      <c r="F66" t="s">
        <v>72</v>
      </c>
      <c r="G66" t="s">
        <v>162</v>
      </c>
      <c r="H66">
        <v>103</v>
      </c>
      <c r="I66" t="s">
        <v>62</v>
      </c>
      <c r="J66" t="s">
        <v>163</v>
      </c>
      <c r="K66" t="s">
        <v>79</v>
      </c>
      <c r="L66" t="s">
        <v>44</v>
      </c>
      <c r="M66" t="s">
        <v>54</v>
      </c>
      <c r="N66">
        <v>2</v>
      </c>
      <c r="O66">
        <v>-2</v>
      </c>
      <c r="P66">
        <v>0</v>
      </c>
      <c r="Q66">
        <v>46</v>
      </c>
      <c r="R66">
        <v>0</v>
      </c>
      <c r="T66">
        <v>0</v>
      </c>
      <c r="U66">
        <v>1</v>
      </c>
      <c r="V66">
        <v>945</v>
      </c>
      <c r="W66">
        <v>5</v>
      </c>
      <c r="X66" t="s">
        <v>55</v>
      </c>
      <c r="Y66">
        <v>1</v>
      </c>
      <c r="Z66">
        <v>2</v>
      </c>
      <c r="AA66">
        <v>80</v>
      </c>
      <c r="AB66">
        <v>3</v>
      </c>
      <c r="AC66">
        <v>2</v>
      </c>
      <c r="AD66">
        <v>3</v>
      </c>
      <c r="AE66">
        <v>5021</v>
      </c>
      <c r="AF66">
        <v>10425</v>
      </c>
      <c r="AG66">
        <v>8</v>
      </c>
      <c r="AH66">
        <v>22</v>
      </c>
      <c r="AI66">
        <v>4</v>
      </c>
      <c r="AJ66">
        <v>4</v>
      </c>
      <c r="AK66">
        <v>80</v>
      </c>
      <c r="AL66">
        <v>1</v>
      </c>
      <c r="AM66">
        <v>16</v>
      </c>
      <c r="AN66">
        <v>3</v>
      </c>
      <c r="AO66">
        <v>4</v>
      </c>
      <c r="AP66">
        <v>2</v>
      </c>
      <c r="AQ66">
        <v>0</v>
      </c>
      <c r="AR66">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7B19-DC60-489E-8BBE-DD490656EE6F}">
  <dimension ref="A3:F7"/>
  <sheetViews>
    <sheetView workbookViewId="0">
      <selection activeCell="B4" sqref="B4"/>
    </sheetView>
  </sheetViews>
  <sheetFormatPr defaultRowHeight="15.6" x14ac:dyDescent="0.3"/>
  <cols>
    <col min="1" max="1" width="12.19921875" bestFit="1" customWidth="1"/>
    <col min="2" max="2" width="22.796875" bestFit="1" customWidth="1"/>
  </cols>
  <sheetData>
    <row r="3" spans="1:6" x14ac:dyDescent="0.3">
      <c r="A3" s="11" t="s">
        <v>1565</v>
      </c>
      <c r="B3" s="3" t="s">
        <v>1554</v>
      </c>
    </row>
    <row r="4" spans="1:6" x14ac:dyDescent="0.3">
      <c r="A4" s="12" t="s">
        <v>161</v>
      </c>
      <c r="B4" s="17">
        <v>5.0632911392405063E-2</v>
      </c>
    </row>
    <row r="5" spans="1:6" x14ac:dyDescent="0.3">
      <c r="A5" s="13" t="s">
        <v>60</v>
      </c>
      <c r="B5" s="18">
        <v>0.56118143459915615</v>
      </c>
    </row>
    <row r="6" spans="1:6" x14ac:dyDescent="0.3">
      <c r="A6" s="13" t="s">
        <v>48</v>
      </c>
      <c r="B6" s="18">
        <v>0.3881856540084388</v>
      </c>
      <c r="F6" s="16"/>
    </row>
    <row r="7" spans="1:6" x14ac:dyDescent="0.3">
      <c r="A7" s="14" t="s">
        <v>1566</v>
      </c>
      <c r="B7" s="1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1983-3E14-43B0-BCD2-65CB01992D13}">
  <dimension ref="A3:B9"/>
  <sheetViews>
    <sheetView workbookViewId="0">
      <selection activeCell="A3" sqref="A3"/>
    </sheetView>
  </sheetViews>
  <sheetFormatPr defaultRowHeight="15.6" x14ac:dyDescent="0.3"/>
  <cols>
    <col min="1" max="1" width="12.19921875" bestFit="1" customWidth="1"/>
    <col min="2" max="2" width="22.796875" bestFit="1" customWidth="1"/>
  </cols>
  <sheetData>
    <row r="3" spans="1:2" x14ac:dyDescent="0.3">
      <c r="A3" s="11" t="s">
        <v>1565</v>
      </c>
      <c r="B3" s="3" t="s">
        <v>1554</v>
      </c>
    </row>
    <row r="4" spans="1:2" x14ac:dyDescent="0.3">
      <c r="A4" s="12" t="s">
        <v>69</v>
      </c>
      <c r="B4" s="3">
        <v>112</v>
      </c>
    </row>
    <row r="5" spans="1:2" x14ac:dyDescent="0.3">
      <c r="A5" s="13" t="s">
        <v>46</v>
      </c>
      <c r="B5" s="21">
        <v>51</v>
      </c>
    </row>
    <row r="6" spans="1:2" x14ac:dyDescent="0.3">
      <c r="A6" s="13" t="s">
        <v>92</v>
      </c>
      <c r="B6" s="21">
        <v>38</v>
      </c>
    </row>
    <row r="7" spans="1:2" x14ac:dyDescent="0.3">
      <c r="A7" s="13" t="s">
        <v>58</v>
      </c>
      <c r="B7" s="21">
        <v>25</v>
      </c>
    </row>
    <row r="8" spans="1:2" x14ac:dyDescent="0.3">
      <c r="A8" s="13" t="s">
        <v>75</v>
      </c>
      <c r="B8" s="21">
        <v>11</v>
      </c>
    </row>
    <row r="9" spans="1:2" x14ac:dyDescent="0.3">
      <c r="A9" s="14" t="s">
        <v>1566</v>
      </c>
      <c r="B9" s="22">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C704-6D5F-4F79-BF18-8D98AA73A9EF}">
  <dimension ref="A3:E7"/>
  <sheetViews>
    <sheetView workbookViewId="0">
      <selection activeCell="A5" sqref="A5:B5"/>
      <pivotSelection pane="bottomRight" showHeader="1" extendable="1" axis="axisRow" start="1" max="4" activeRow="4" previousRow="4" click="1" r:id="rId1">
        <pivotArea dataOnly="0" fieldPosition="0">
          <references count="1">
            <reference field="10" count="1">
              <x v="1"/>
            </reference>
          </references>
        </pivotArea>
      </pivotSelection>
    </sheetView>
  </sheetViews>
  <sheetFormatPr defaultRowHeight="15.6" x14ac:dyDescent="0.3"/>
  <cols>
    <col min="1" max="1" width="12.19921875" bestFit="1" customWidth="1"/>
    <col min="2" max="2" width="16" bestFit="1" customWidth="1"/>
    <col min="4" max="4" width="12.59765625" bestFit="1" customWidth="1"/>
  </cols>
  <sheetData>
    <row r="3" spans="1:5" x14ac:dyDescent="0.3">
      <c r="A3" s="11" t="s">
        <v>1565</v>
      </c>
      <c r="B3" s="3" t="s">
        <v>1568</v>
      </c>
      <c r="D3" t="s">
        <v>1569</v>
      </c>
      <c r="E3" t="s">
        <v>0</v>
      </c>
    </row>
    <row r="4" spans="1:5" x14ac:dyDescent="0.3">
      <c r="A4" s="12" t="s">
        <v>79</v>
      </c>
      <c r="B4" s="3">
        <v>327</v>
      </c>
      <c r="D4" s="12" t="s">
        <v>79</v>
      </c>
      <c r="E4">
        <v>327</v>
      </c>
    </row>
    <row r="5" spans="1:5" x14ac:dyDescent="0.3">
      <c r="A5" s="13" t="s">
        <v>64</v>
      </c>
      <c r="B5" s="21">
        <v>673</v>
      </c>
      <c r="D5" s="13" t="s">
        <v>64</v>
      </c>
      <c r="E5">
        <v>673</v>
      </c>
    </row>
    <row r="6" spans="1:5" x14ac:dyDescent="0.3">
      <c r="A6" s="13" t="s">
        <v>53</v>
      </c>
      <c r="B6" s="21">
        <v>470</v>
      </c>
      <c r="D6" s="13" t="s">
        <v>53</v>
      </c>
      <c r="E6">
        <v>470</v>
      </c>
    </row>
    <row r="7" spans="1:5" x14ac:dyDescent="0.3">
      <c r="A7" s="14" t="s">
        <v>1566</v>
      </c>
      <c r="B7" s="22">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R1471"/>
  <sheetViews>
    <sheetView workbookViewId="0">
      <selection activeCell="F12" sqref="A1:AR1471"/>
    </sheetView>
  </sheetViews>
  <sheetFormatPr defaultColWidth="11.19921875" defaultRowHeight="15" customHeight="1" x14ac:dyDescent="0.3"/>
  <cols>
    <col min="1" max="1" width="9.69921875" customWidth="1"/>
    <col min="2" max="2" width="15.3984375" customWidth="1"/>
    <col min="3" max="3" width="13.296875" customWidth="1"/>
    <col min="4" max="4" width="17.5" customWidth="1"/>
    <col min="5" max="5" width="12.796875" customWidth="1"/>
    <col min="6" max="6" width="15.3984375" customWidth="1"/>
    <col min="7" max="7" width="9" customWidth="1"/>
    <col min="8" max="8" width="18.09765625" customWidth="1"/>
    <col min="9" max="9" width="8.5" customWidth="1"/>
    <col min="10" max="10" width="23.296875" customWidth="1"/>
    <col min="11" max="11" width="14.3984375" customWidth="1"/>
    <col min="12" max="12" width="11.19921875" customWidth="1"/>
    <col min="13" max="13" width="8.5" customWidth="1"/>
    <col min="14" max="14" width="22.796875" customWidth="1"/>
    <col min="15" max="17" width="8.5" customWidth="1"/>
    <col min="18" max="18" width="17.8984375" customWidth="1"/>
    <col min="19" max="19" width="18.59765625" customWidth="1"/>
    <col min="20" max="20" width="16.3984375" customWidth="1"/>
    <col min="21" max="21" width="20.5" customWidth="1"/>
    <col min="22" max="22" width="11.09765625" customWidth="1"/>
    <col min="23" max="23" width="20.09765625" customWidth="1"/>
    <col min="24" max="24" width="16" customWidth="1"/>
    <col min="25" max="25" width="16.3984375" customWidth="1"/>
    <col min="26" max="26" width="23.5" customWidth="1"/>
    <col min="27" max="27" width="12.5" customWidth="1"/>
    <col min="28" max="28" width="16.3984375" customWidth="1"/>
    <col min="29" max="29" width="10.19921875" customWidth="1"/>
    <col min="30" max="30" width="15.69921875" customWidth="1"/>
    <col min="31" max="31" width="16.296875" customWidth="1"/>
    <col min="32" max="32" width="14.09765625" customWidth="1"/>
    <col min="33" max="33" width="23.5" customWidth="1"/>
    <col min="34" max="34" width="18.69921875" customWidth="1"/>
    <col min="35" max="35" width="19.09765625" customWidth="1"/>
    <col min="36" max="36" width="23.296875" customWidth="1"/>
    <col min="37" max="37" width="15.69921875" customWidth="1"/>
    <col min="38" max="38" width="18.19921875" customWidth="1"/>
    <col min="39" max="39" width="19.5" customWidth="1"/>
    <col min="40" max="40" width="17.5" customWidth="1"/>
    <col min="41" max="41" width="17.8984375" customWidth="1"/>
    <col min="42" max="42" width="20.296875" customWidth="1"/>
    <col min="43" max="43" width="25.09765625" customWidth="1"/>
    <col min="44" max="44" width="23.69921875" customWidth="1"/>
  </cols>
  <sheetData>
    <row r="1" spans="1:44"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
  <sheetViews>
    <sheetView workbookViewId="0"/>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I25"/>
  <sheetViews>
    <sheetView showGridLines="0" tabSelected="1" topLeftCell="A2" zoomScale="55" zoomScaleNormal="55" workbookViewId="0">
      <selection activeCell="AG22" sqref="AG22"/>
    </sheetView>
  </sheetViews>
  <sheetFormatPr defaultColWidth="11.19921875" defaultRowHeight="15" customHeight="1" x14ac:dyDescent="0.3"/>
  <cols>
    <col min="1" max="26" width="8.5" style="9" customWidth="1"/>
    <col min="27" max="16384" width="11.19921875" style="9"/>
  </cols>
  <sheetData>
    <row r="25" spans="35:35" ht="15" customHeight="1" x14ac:dyDescent="0.3">
      <c r="AI25"/>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vt:lpstr>
      <vt:lpstr>Rating</vt:lpstr>
      <vt:lpstr>Gender</vt:lpstr>
      <vt:lpstr>Education by Attrition</vt:lpstr>
      <vt:lpstr>Attrition wise Job</vt:lpstr>
      <vt:lpstr>Detail1</vt:lpstr>
      <vt:lpstr>Dept wise Attrition</vt:lpstr>
      <vt:lpstr>Attrition by Age group</vt:lpstr>
      <vt:lpstr>Marital status</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Taqi aman</cp:lastModifiedBy>
  <dcterms:created xsi:type="dcterms:W3CDTF">2022-12-29T16:02:46Z</dcterms:created>
  <dcterms:modified xsi:type="dcterms:W3CDTF">2026-02-15T07:50:06Z</dcterms:modified>
</cp:coreProperties>
</file>